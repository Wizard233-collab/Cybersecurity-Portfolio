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EA6D00423E8BDB018F57DCEFA135AE52BA20B7AC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sset Inventory" sheetId="1" r:id="rId1"/>
    <sheet name="Summary by Category" sheetId="2" r:id="rId2"/>
    <sheet name="Criticality Matrix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C10" i="2"/>
  <c r="H42" i="1"/>
</calcChain>
</file>

<file path=xl/sharedStrings.xml><?xml version="1.0" encoding="utf-8"?>
<sst xmlns="http://schemas.openxmlformats.org/spreadsheetml/2006/main" count="479" uniqueCount="172">
  <si>
    <t>CRITICAL ASSET INVENTORY — NETWORK ARCHITECTURE</t>
  </si>
  <si>
    <t>Financial Services Platform  |  29 Assets  |  8 Categories</t>
  </si>
  <si>
    <t>Asset ID</t>
  </si>
  <si>
    <t>Asset Name</t>
  </si>
  <si>
    <t>Category</t>
  </si>
  <si>
    <t>Layer / Zone</t>
  </si>
  <si>
    <t>Description</t>
  </si>
  <si>
    <t>Protocol / Tech</t>
  </si>
  <si>
    <t>Data Classification</t>
  </si>
  <si>
    <t>Criticality</t>
  </si>
  <si>
    <t>Status</t>
  </si>
  <si>
    <t>Owner Role</t>
  </si>
  <si>
    <t>Owner Team</t>
  </si>
  <si>
    <t>SERVERS  (AS-001 – AS-004)</t>
  </si>
  <si>
    <t>AS-001</t>
  </si>
  <si>
    <t>Payment Processing Server</t>
  </si>
  <si>
    <t>Servers</t>
  </si>
  <si>
    <t>Core Application</t>
  </si>
  <si>
    <t>Core payment engine handling all financial transactions</t>
  </si>
  <si>
    <t>PCI-DSS · Internal TCP</t>
  </si>
  <si>
    <t>Restricted / PCI</t>
  </si>
  <si>
    <t>Critical</t>
  </si>
  <si>
    <t>Active</t>
  </si>
  <si>
    <t>System Administrator</t>
  </si>
  <si>
    <t>IT Operations</t>
  </si>
  <si>
    <t>AS-002</t>
  </si>
  <si>
    <t>User Authentication Server</t>
  </si>
  <si>
    <t>OAuth2/JWT authentication, MFA enforcement for all users</t>
  </si>
  <si>
    <t>OAuth2 · JWT · HTTPS</t>
  </si>
  <si>
    <t>Confidential</t>
  </si>
  <si>
    <t>AS-003</t>
  </si>
  <si>
    <t>Web Application Server</t>
  </si>
  <si>
    <t>DMZ — Public Facing</t>
  </si>
  <si>
    <t>Public-facing web tier serving browser clients</t>
  </si>
  <si>
    <t>HTTPS:443</t>
  </si>
  <si>
    <t>Internal</t>
  </si>
  <si>
    <t>High</t>
  </si>
  <si>
    <t>AS-004</t>
  </si>
  <si>
    <t>Mobile API Server</t>
  </si>
  <si>
    <t>REST API gateway for mobile application clients</t>
  </si>
  <si>
    <t>REST / TLS</t>
  </si>
  <si>
    <t>Software Developers</t>
  </si>
  <si>
    <t>Engineering</t>
  </si>
  <si>
    <t>DATABASES  (AS-005 – AS-008)</t>
  </si>
  <si>
    <t>AS-005</t>
  </si>
  <si>
    <t>Customer Database</t>
  </si>
  <si>
    <t>Databases</t>
  </si>
  <si>
    <t>Data Layer</t>
  </si>
  <si>
    <t>Stores PII — encrypted at rest with RBAC access controls</t>
  </si>
  <si>
    <t>SQL · AES-256</t>
  </si>
  <si>
    <t>Restricted / PII</t>
  </si>
  <si>
    <t>AS-006</t>
  </si>
  <si>
    <t>Transaction Database</t>
  </si>
  <si>
    <t>Immutable financial transaction ledger</t>
  </si>
  <si>
    <t>SQL · Append-only</t>
  </si>
  <si>
    <t>Finance Officers</t>
  </si>
  <si>
    <t>Finance</t>
  </si>
  <si>
    <t>AS-007</t>
  </si>
  <si>
    <t>Fraud Detection Database</t>
  </si>
  <si>
    <t>Real-time ML fraud scoring, linked to payment server</t>
  </si>
  <si>
    <t>NoSQL · Real-time</t>
  </si>
  <si>
    <t>AS-008</t>
  </si>
  <si>
    <t>Backup Database</t>
  </si>
  <si>
    <t>Offsite encrypted backups, RTO 4h / RPO 1h</t>
  </si>
  <si>
    <t>Encrypted Backup</t>
  </si>
  <si>
    <t>Restricted</t>
  </si>
  <si>
    <t>USER DATA  (AS-009 – AS-011)</t>
  </si>
  <si>
    <t>AS-009</t>
  </si>
  <si>
    <t>KYC / Identity Documents</t>
  </si>
  <si>
    <t>User Data</t>
  </si>
  <si>
    <t>Scanned identity documents stored in object store</t>
  </si>
  <si>
    <t>AES-256 · Object Store</t>
  </si>
  <si>
    <t>AS-010</t>
  </si>
  <si>
    <t>User Financial Records</t>
  </si>
  <si>
    <t>Account balances and full transaction history</t>
  </si>
  <si>
    <t>SQL · Encrypted</t>
  </si>
  <si>
    <t>AS-011</t>
  </si>
  <si>
    <t>User Activity / Audit Logs</t>
  </si>
  <si>
    <t>Immutable audit trail of all user and system activity for compliance and forensics</t>
  </si>
  <si>
    <t>Syslog · AES-256</t>
  </si>
  <si>
    <t>Security Team</t>
  </si>
  <si>
    <t>Cybersecurity</t>
  </si>
  <si>
    <t>APIs &amp; INTEGRATIONS  (AS-012 – AS-016)</t>
  </si>
  <si>
    <t>AS-012</t>
  </si>
  <si>
    <t>Payment Gateway API</t>
  </si>
  <si>
    <t>APIs &amp; Integrations</t>
  </si>
  <si>
    <t>External Services</t>
  </si>
  <si>
    <t>Third-party payment processor integration</t>
  </si>
  <si>
    <t>HTTPS · REST</t>
  </si>
  <si>
    <t>AS-013</t>
  </si>
  <si>
    <t>Mobile Money API</t>
  </si>
  <si>
    <t>Telecom mobile money platform integration</t>
  </si>
  <si>
    <t>AS-014</t>
  </si>
  <si>
    <t>KYC Verification API</t>
  </si>
  <si>
    <t>Third-party identity verification service</t>
  </si>
  <si>
    <t>AS-015</t>
  </si>
  <si>
    <t>Internal Microservices API</t>
  </si>
  <si>
    <t>Service mesh for internal east-west traffic</t>
  </si>
  <si>
    <t>gRPC · mTLS</t>
  </si>
  <si>
    <t>AS-016</t>
  </si>
  <si>
    <t>Notification Service API</t>
  </si>
  <si>
    <t>SMS, email, and push notification delivery</t>
  </si>
  <si>
    <t>SMTP · APNS · FCM</t>
  </si>
  <si>
    <t>Medium</t>
  </si>
  <si>
    <t>NETWORK &amp; SECURITY TOOLS  (AS-017 – AS-022)</t>
  </si>
  <si>
    <t>AS-017</t>
  </si>
  <si>
    <t>Firewall</t>
  </si>
  <si>
    <t>Network &amp; Security Tools</t>
  </si>
  <si>
    <t>Perimeter Security</t>
  </si>
  <si>
    <t>Perimeter firewall managing all ingress/egress rules</t>
  </si>
  <si>
    <t>Stateful Firewall</t>
  </si>
  <si>
    <t>Infrastructure</t>
  </si>
  <si>
    <t>AS-018</t>
  </si>
  <si>
    <t>VPN Gateway</t>
  </si>
  <si>
    <t>Encrypted VPN tunnel for privileged admin access</t>
  </si>
  <si>
    <t>IPSec / SSL VPN</t>
  </si>
  <si>
    <t>AS-019</t>
  </si>
  <si>
    <t>Intrusion Detection System</t>
  </si>
  <si>
    <t>Security Controls</t>
  </si>
  <si>
    <t>Network and host-based IDS with real-time alerting</t>
  </si>
  <si>
    <t>NIDS / HIDS</t>
  </si>
  <si>
    <t>AS-020</t>
  </si>
  <si>
    <t>SIEM / Log Management</t>
  </si>
  <si>
    <t>Centralised log aggregation and threat hunting</t>
  </si>
  <si>
    <t>Syslog · SIEM</t>
  </si>
  <si>
    <t>AS-021</t>
  </si>
  <si>
    <t>Identity &amp; Access Management</t>
  </si>
  <si>
    <t>Centralised RBAC and policy enforcement engine</t>
  </si>
  <si>
    <t>LDAP · SAML · RBAC</t>
  </si>
  <si>
    <t>AS-022</t>
  </si>
  <si>
    <t>Load Balancer</t>
  </si>
  <si>
    <t>Distributes inbound traffic across application servers for availability and scalability</t>
  </si>
  <si>
    <t>Layer 4/7 · HAProxy</t>
  </si>
  <si>
    <t>ENDPOINT DEVICES  (AS-023)</t>
  </si>
  <si>
    <t>AS-023</t>
  </si>
  <si>
    <t>Admin Workstations</t>
  </si>
  <si>
    <t>Endpoint Devices</t>
  </si>
  <si>
    <t>Endpoints</t>
  </si>
  <si>
    <t>Privileged access workstations with hardened OS build</t>
  </si>
  <si>
    <t>PAW · EDR · MFA</t>
  </si>
  <si>
    <t>PEOPLE  (AS-024 – AS-029)</t>
  </si>
  <si>
    <t>AS-024</t>
  </si>
  <si>
    <t xml:space="preserve">Employees </t>
  </si>
  <si>
    <t>People</t>
  </si>
  <si>
    <t>Organisational</t>
  </si>
  <si>
    <t>120 employees — internal staff with access to systems and data</t>
  </si>
  <si>
    <t>HR · Access Control</t>
  </si>
  <si>
    <t>AS-025</t>
  </si>
  <si>
    <t>Manages servers and infrastructure</t>
  </si>
  <si>
    <t>AS-026</t>
  </si>
  <si>
    <t>Develop and maintain applications</t>
  </si>
  <si>
    <t>AS-027</t>
  </si>
  <si>
    <t>Customer Support Staff</t>
  </si>
  <si>
    <t>Customer Support</t>
  </si>
  <si>
    <t>Handle user issues and access accounts</t>
  </si>
  <si>
    <t>AS-028</t>
  </si>
  <si>
    <t>Manage financial records and transactions</t>
  </si>
  <si>
    <t>AS-029</t>
  </si>
  <si>
    <t>Monitor threats and manage security systems</t>
  </si>
  <si>
    <t>TOTAL ASSETS</t>
  </si>
  <si>
    <t>ASSET SUMMARY BY CATEGORY</t>
  </si>
  <si>
    <t>Asset Count</t>
  </si>
  <si>
    <t>Critical Assets</t>
  </si>
  <si>
    <t>High Assets</t>
  </si>
  <si>
    <t>Zone</t>
  </si>
  <si>
    <t>DMZ + Core Application</t>
  </si>
  <si>
    <t>Core Application + Data Layer</t>
  </si>
  <si>
    <t>External Services + Core Application</t>
  </si>
  <si>
    <t>Perimeter + Security Controls + Data Layer</t>
  </si>
  <si>
    <t>TOTAL</t>
  </si>
  <si>
    <t>—</t>
  </si>
  <si>
    <t>ASSET CRITICALITY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</si>
</sst>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3D5A"/>
      <name val="Arial"/>
    </font>
    <font>
      <b/>
      <sz val="10"/>
      <color rgb="FF1A7A45"/>
      <name val="Arial"/>
    </font>
    <font>
      <b/>
      <sz val="10"/>
      <color rgb="FFFF9500"/>
      <name val="Arial"/>
    </font>
    <font>
      <b/>
      <sz val="13"/>
      <color rgb="FFFFFFFF"/>
      <name val="Arial"/>
    </font>
    <font>
      <b/>
      <sz val="11"/>
      <color rgb="FF000000"/>
      <name val="Arial"/>
    </font>
    <font>
      <b/>
      <sz val="11"/>
      <color rgb="FFFF9500"/>
      <name val="Arial"/>
    </font>
    <font>
      <b/>
      <sz val="11"/>
      <color rgb="FF1A7A45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FF3D5A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A0014"/>
      </patternFill>
    </fill>
    <fill>
      <patternFill patternType="solid">
        <fgColor rgb="FFFFE6E6"/>
      </patternFill>
    </fill>
    <fill>
      <patternFill patternType="solid">
        <fgColor rgb="FF1E6B45"/>
      </patternFill>
    </fill>
    <fill>
      <patternFill patternType="solid">
        <fgColor rgb="FFD5F5D5"/>
      </patternFill>
    </fill>
    <fill>
      <patternFill patternType="solid">
        <fgColor rgb="FF7A4F00"/>
      </patternFill>
    </fill>
    <fill>
      <patternFill patternType="solid">
        <fgColor rgb="FFFFF4E0"/>
      </patternFill>
    </fill>
    <fill>
      <patternFill patternType="solid">
        <fgColor rgb="FF5A3E7A"/>
      </patternFill>
    </fill>
    <fill>
      <patternFill patternType="solid">
        <fgColor rgb="FFF5F0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3" fillId="8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10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opLeftCell="F1" workbookViewId="0">
      <pane ySplit="3" topLeftCell="F19" activePane="bottomLeft" state="frozen"/>
      <selection activeCell="D1" sqref="D1"/>
      <selection pane="bottomLeft" activeCell="C25" sqref="C25"/>
    </sheetView>
  </sheetViews>
  <sheetFormatPr defaultRowHeight="15" x14ac:dyDescent="0.2"/>
  <cols>
    <col min="1" max="1" width="9.953125" style="41" customWidth="1"/>
    <col min="2" max="2" width="27.98046875" style="41" customWidth="1"/>
    <col min="3" max="4" width="22.05859375" style="41" customWidth="1"/>
    <col min="5" max="5" width="37.93359375" style="41" customWidth="1"/>
    <col min="6" max="7" width="22.05859375" style="41" customWidth="1"/>
    <col min="8" max="8" width="13.98828125" style="41" customWidth="1"/>
    <col min="9" max="9" width="11.97265625" style="41" customWidth="1"/>
    <col min="10" max="10" width="27.98046875" style="41" customWidth="1"/>
    <col min="11" max="11" width="22.05859375" style="41" customWidth="1"/>
  </cols>
  <sheetData>
    <row r="1" spans="1:11" ht="32.1" customHeight="1" x14ac:dyDescent="0.2">
      <c r="A1" s="50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21.9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2">
      <c r="A4" s="45" t="s">
        <v>13</v>
      </c>
      <c r="B4" s="43"/>
      <c r="C4" s="43"/>
      <c r="D4" s="43"/>
      <c r="E4" s="43"/>
      <c r="F4" s="43"/>
      <c r="G4" s="43"/>
      <c r="H4" s="43"/>
      <c r="I4" s="43"/>
      <c r="J4" s="43"/>
      <c r="K4" s="44"/>
    </row>
    <row r="5" spans="1:11" ht="30" customHeight="1" x14ac:dyDescent="0.2">
      <c r="A5" s="2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4" t="s">
        <v>20</v>
      </c>
      <c r="H5" s="5" t="s">
        <v>21</v>
      </c>
      <c r="I5" s="6" t="s">
        <v>22</v>
      </c>
      <c r="J5" s="31" t="s">
        <v>23</v>
      </c>
      <c r="K5" s="31" t="s">
        <v>24</v>
      </c>
    </row>
    <row r="6" spans="1:11" ht="30" customHeight="1" x14ac:dyDescent="0.2">
      <c r="A6" s="2" t="s">
        <v>25</v>
      </c>
      <c r="B6" s="3" t="s">
        <v>26</v>
      </c>
      <c r="C6" s="3" t="s">
        <v>16</v>
      </c>
      <c r="D6" s="3" t="s">
        <v>17</v>
      </c>
      <c r="E6" s="3" t="s">
        <v>27</v>
      </c>
      <c r="F6" s="3" t="s">
        <v>28</v>
      </c>
      <c r="G6" s="4" t="s">
        <v>29</v>
      </c>
      <c r="H6" s="5" t="s">
        <v>21</v>
      </c>
      <c r="I6" s="6" t="s">
        <v>22</v>
      </c>
      <c r="J6" s="31" t="s">
        <v>23</v>
      </c>
      <c r="K6" s="31" t="s">
        <v>24</v>
      </c>
    </row>
    <row r="7" spans="1:11" ht="30" customHeight="1" x14ac:dyDescent="0.2">
      <c r="A7" s="2" t="s">
        <v>30</v>
      </c>
      <c r="B7" s="3" t="s">
        <v>31</v>
      </c>
      <c r="C7" s="3" t="s">
        <v>16</v>
      </c>
      <c r="D7" s="3" t="s">
        <v>32</v>
      </c>
      <c r="E7" s="3" t="s">
        <v>33</v>
      </c>
      <c r="F7" s="3" t="s">
        <v>34</v>
      </c>
      <c r="G7" s="4" t="s">
        <v>35</v>
      </c>
      <c r="H7" s="7" t="s">
        <v>36</v>
      </c>
      <c r="I7" s="6" t="s">
        <v>22</v>
      </c>
      <c r="J7" s="31" t="s">
        <v>23</v>
      </c>
      <c r="K7" s="31" t="s">
        <v>24</v>
      </c>
    </row>
    <row r="8" spans="1:11" ht="30" customHeight="1" x14ac:dyDescent="0.2">
      <c r="A8" s="2" t="s">
        <v>37</v>
      </c>
      <c r="B8" s="3" t="s">
        <v>38</v>
      </c>
      <c r="C8" s="3" t="s">
        <v>16</v>
      </c>
      <c r="D8" s="3" t="s">
        <v>32</v>
      </c>
      <c r="E8" s="3" t="s">
        <v>39</v>
      </c>
      <c r="F8" s="3" t="s">
        <v>40</v>
      </c>
      <c r="G8" s="4" t="s">
        <v>35</v>
      </c>
      <c r="H8" s="7" t="s">
        <v>36</v>
      </c>
      <c r="I8" s="6" t="s">
        <v>22</v>
      </c>
      <c r="J8" s="31" t="s">
        <v>41</v>
      </c>
      <c r="K8" s="31" t="s">
        <v>42</v>
      </c>
    </row>
    <row r="9" spans="1:11" ht="18" customHeight="1" x14ac:dyDescent="0.2">
      <c r="A9" s="49" t="s">
        <v>43</v>
      </c>
      <c r="B9" s="43"/>
      <c r="C9" s="43"/>
      <c r="D9" s="43"/>
      <c r="E9" s="43"/>
      <c r="F9" s="43"/>
      <c r="G9" s="43"/>
      <c r="H9" s="43"/>
      <c r="I9" s="43"/>
      <c r="J9" s="43"/>
      <c r="K9" s="44"/>
    </row>
    <row r="10" spans="1:11" ht="30" customHeight="1" x14ac:dyDescent="0.2">
      <c r="A10" s="8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9" t="s">
        <v>49</v>
      </c>
      <c r="G10" s="10" t="s">
        <v>50</v>
      </c>
      <c r="H10" s="11" t="s">
        <v>21</v>
      </c>
      <c r="I10" s="12" t="s">
        <v>22</v>
      </c>
      <c r="J10" s="32" t="s">
        <v>23</v>
      </c>
      <c r="K10" s="32" t="s">
        <v>24</v>
      </c>
    </row>
    <row r="11" spans="1:11" ht="30" customHeight="1" x14ac:dyDescent="0.2">
      <c r="A11" s="8" t="s">
        <v>51</v>
      </c>
      <c r="B11" s="9" t="s">
        <v>52</v>
      </c>
      <c r="C11" s="9" t="s">
        <v>46</v>
      </c>
      <c r="D11" s="9" t="s">
        <v>47</v>
      </c>
      <c r="E11" s="9" t="s">
        <v>53</v>
      </c>
      <c r="F11" s="9" t="s">
        <v>54</v>
      </c>
      <c r="G11" s="10" t="s">
        <v>20</v>
      </c>
      <c r="H11" s="11" t="s">
        <v>21</v>
      </c>
      <c r="I11" s="12" t="s">
        <v>22</v>
      </c>
      <c r="J11" s="32" t="s">
        <v>55</v>
      </c>
      <c r="K11" s="32" t="s">
        <v>56</v>
      </c>
    </row>
    <row r="12" spans="1:11" ht="30" customHeight="1" x14ac:dyDescent="0.2">
      <c r="A12" s="8" t="s">
        <v>57</v>
      </c>
      <c r="B12" s="9" t="s">
        <v>58</v>
      </c>
      <c r="C12" s="9" t="s">
        <v>46</v>
      </c>
      <c r="D12" s="9" t="s">
        <v>17</v>
      </c>
      <c r="E12" s="9" t="s">
        <v>59</v>
      </c>
      <c r="F12" s="9" t="s">
        <v>60</v>
      </c>
      <c r="G12" s="10" t="s">
        <v>29</v>
      </c>
      <c r="H12" s="13" t="s">
        <v>36</v>
      </c>
      <c r="I12" s="12" t="s">
        <v>22</v>
      </c>
      <c r="J12" s="32" t="s">
        <v>41</v>
      </c>
      <c r="K12" s="32" t="s">
        <v>42</v>
      </c>
    </row>
    <row r="13" spans="1:11" ht="30" customHeight="1" x14ac:dyDescent="0.2">
      <c r="A13" s="8" t="s">
        <v>61</v>
      </c>
      <c r="B13" s="9" t="s">
        <v>62</v>
      </c>
      <c r="C13" s="9" t="s">
        <v>46</v>
      </c>
      <c r="D13" s="9" t="s">
        <v>47</v>
      </c>
      <c r="E13" s="9" t="s">
        <v>63</v>
      </c>
      <c r="F13" s="9" t="s">
        <v>64</v>
      </c>
      <c r="G13" s="10" t="s">
        <v>65</v>
      </c>
      <c r="H13" s="13" t="s">
        <v>36</v>
      </c>
      <c r="I13" s="12" t="s">
        <v>22</v>
      </c>
      <c r="J13" s="32" t="s">
        <v>23</v>
      </c>
      <c r="K13" s="32" t="s">
        <v>24</v>
      </c>
    </row>
    <row r="14" spans="1:11" ht="18" customHeight="1" x14ac:dyDescent="0.2">
      <c r="A14" s="49" t="s">
        <v>66</v>
      </c>
      <c r="B14" s="43"/>
      <c r="C14" s="43"/>
      <c r="D14" s="43"/>
      <c r="E14" s="43"/>
      <c r="F14" s="43"/>
      <c r="G14" s="43"/>
      <c r="H14" s="43"/>
      <c r="I14" s="43"/>
      <c r="J14" s="43"/>
      <c r="K14" s="44"/>
    </row>
    <row r="15" spans="1:11" ht="30" customHeight="1" x14ac:dyDescent="0.2">
      <c r="A15" s="8" t="s">
        <v>67</v>
      </c>
      <c r="B15" s="9" t="s">
        <v>68</v>
      </c>
      <c r="C15" s="9" t="s">
        <v>69</v>
      </c>
      <c r="D15" s="9" t="s">
        <v>47</v>
      </c>
      <c r="E15" s="9" t="s">
        <v>70</v>
      </c>
      <c r="F15" s="9" t="s">
        <v>71</v>
      </c>
      <c r="G15" s="10" t="s">
        <v>50</v>
      </c>
      <c r="H15" s="11" t="s">
        <v>21</v>
      </c>
      <c r="I15" s="12" t="s">
        <v>22</v>
      </c>
      <c r="J15" s="32" t="s">
        <v>23</v>
      </c>
      <c r="K15" s="32" t="s">
        <v>24</v>
      </c>
    </row>
    <row r="16" spans="1:11" ht="30" customHeight="1" x14ac:dyDescent="0.2">
      <c r="A16" s="8" t="s">
        <v>72</v>
      </c>
      <c r="B16" s="9" t="s">
        <v>73</v>
      </c>
      <c r="C16" s="9" t="s">
        <v>69</v>
      </c>
      <c r="D16" s="9" t="s">
        <v>47</v>
      </c>
      <c r="E16" s="9" t="s">
        <v>74</v>
      </c>
      <c r="F16" s="9" t="s">
        <v>75</v>
      </c>
      <c r="G16" s="10" t="s">
        <v>50</v>
      </c>
      <c r="H16" s="11" t="s">
        <v>21</v>
      </c>
      <c r="I16" s="12" t="s">
        <v>22</v>
      </c>
      <c r="J16" s="32" t="s">
        <v>55</v>
      </c>
      <c r="K16" s="32" t="s">
        <v>56</v>
      </c>
    </row>
    <row r="17" spans="1:11" ht="18" customHeight="1" x14ac:dyDescent="0.2">
      <c r="A17" s="36" t="s">
        <v>76</v>
      </c>
      <c r="B17" s="9" t="s">
        <v>77</v>
      </c>
      <c r="C17" s="9" t="s">
        <v>69</v>
      </c>
      <c r="D17" s="9" t="s">
        <v>47</v>
      </c>
      <c r="E17" s="9" t="s">
        <v>78</v>
      </c>
      <c r="F17" s="9" t="s">
        <v>79</v>
      </c>
      <c r="G17" s="10" t="s">
        <v>20</v>
      </c>
      <c r="H17" s="37" t="s">
        <v>21</v>
      </c>
      <c r="I17" s="38" t="s">
        <v>22</v>
      </c>
      <c r="J17" s="32" t="s">
        <v>80</v>
      </c>
      <c r="K17" s="32" t="s">
        <v>81</v>
      </c>
    </row>
    <row r="18" spans="1:11" ht="30" customHeight="1" x14ac:dyDescent="0.2">
      <c r="A18" s="42" t="s">
        <v>82</v>
      </c>
      <c r="B18" s="43"/>
      <c r="C18" s="43"/>
      <c r="D18" s="43"/>
      <c r="E18" s="43"/>
      <c r="F18" s="43"/>
      <c r="G18" s="43"/>
      <c r="H18" s="43"/>
      <c r="I18" s="43"/>
      <c r="J18" s="43"/>
      <c r="K18" s="44"/>
    </row>
    <row r="19" spans="1:11" ht="30" customHeight="1" x14ac:dyDescent="0.2">
      <c r="A19" s="14" t="s">
        <v>83</v>
      </c>
      <c r="B19" s="15" t="s">
        <v>84</v>
      </c>
      <c r="C19" s="15" t="s">
        <v>85</v>
      </c>
      <c r="D19" s="15" t="s">
        <v>86</v>
      </c>
      <c r="E19" s="15" t="s">
        <v>87</v>
      </c>
      <c r="F19" s="15" t="s">
        <v>88</v>
      </c>
      <c r="G19" s="16" t="s">
        <v>29</v>
      </c>
      <c r="H19" s="17" t="s">
        <v>21</v>
      </c>
      <c r="I19" s="18" t="s">
        <v>22</v>
      </c>
      <c r="J19" s="33" t="s">
        <v>41</v>
      </c>
      <c r="K19" s="33" t="s">
        <v>42</v>
      </c>
    </row>
    <row r="20" spans="1:11" ht="30" customHeight="1" x14ac:dyDescent="0.2">
      <c r="A20" s="14" t="s">
        <v>89</v>
      </c>
      <c r="B20" s="15" t="s">
        <v>90</v>
      </c>
      <c r="C20" s="15" t="s">
        <v>85</v>
      </c>
      <c r="D20" s="15" t="s">
        <v>86</v>
      </c>
      <c r="E20" s="15" t="s">
        <v>91</v>
      </c>
      <c r="F20" s="15" t="s">
        <v>88</v>
      </c>
      <c r="G20" s="16" t="s">
        <v>29</v>
      </c>
      <c r="H20" s="19" t="s">
        <v>36</v>
      </c>
      <c r="I20" s="18" t="s">
        <v>22</v>
      </c>
      <c r="J20" s="33" t="s">
        <v>41</v>
      </c>
      <c r="K20" s="33" t="s">
        <v>42</v>
      </c>
    </row>
    <row r="21" spans="1:11" ht="30" customHeight="1" x14ac:dyDescent="0.2">
      <c r="A21" s="14" t="s">
        <v>92</v>
      </c>
      <c r="B21" s="15" t="s">
        <v>93</v>
      </c>
      <c r="C21" s="15" t="s">
        <v>85</v>
      </c>
      <c r="D21" s="15" t="s">
        <v>86</v>
      </c>
      <c r="E21" s="15" t="s">
        <v>94</v>
      </c>
      <c r="F21" s="15" t="s">
        <v>88</v>
      </c>
      <c r="G21" s="16" t="s">
        <v>50</v>
      </c>
      <c r="H21" s="19" t="s">
        <v>36</v>
      </c>
      <c r="I21" s="18" t="s">
        <v>22</v>
      </c>
      <c r="J21" s="33" t="s">
        <v>23</v>
      </c>
      <c r="K21" s="33" t="s">
        <v>24</v>
      </c>
    </row>
    <row r="22" spans="1:11" ht="30" customHeight="1" x14ac:dyDescent="0.2">
      <c r="A22" s="14" t="s">
        <v>95</v>
      </c>
      <c r="B22" s="15" t="s">
        <v>96</v>
      </c>
      <c r="C22" s="15" t="s">
        <v>85</v>
      </c>
      <c r="D22" s="15" t="s">
        <v>17</v>
      </c>
      <c r="E22" s="15" t="s">
        <v>97</v>
      </c>
      <c r="F22" s="15" t="s">
        <v>98</v>
      </c>
      <c r="G22" s="16" t="s">
        <v>35</v>
      </c>
      <c r="H22" s="19" t="s">
        <v>36</v>
      </c>
      <c r="I22" s="18" t="s">
        <v>22</v>
      </c>
      <c r="J22" s="33" t="s">
        <v>41</v>
      </c>
      <c r="K22" s="33" t="s">
        <v>42</v>
      </c>
    </row>
    <row r="23" spans="1:11" ht="18" customHeight="1" x14ac:dyDescent="0.2">
      <c r="A23" s="14" t="s">
        <v>99</v>
      </c>
      <c r="B23" s="15" t="s">
        <v>100</v>
      </c>
      <c r="C23" s="15" t="s">
        <v>85</v>
      </c>
      <c r="D23" s="15" t="s">
        <v>17</v>
      </c>
      <c r="E23" s="15" t="s">
        <v>101</v>
      </c>
      <c r="F23" s="15" t="s">
        <v>102</v>
      </c>
      <c r="G23" s="16" t="s">
        <v>35</v>
      </c>
      <c r="H23" s="18" t="s">
        <v>103</v>
      </c>
      <c r="I23" s="18" t="s">
        <v>22</v>
      </c>
      <c r="J23" s="33" t="s">
        <v>41</v>
      </c>
      <c r="K23" s="33" t="s">
        <v>42</v>
      </c>
    </row>
    <row r="24" spans="1:11" ht="30" customHeight="1" x14ac:dyDescent="0.2">
      <c r="A24" s="45" t="s">
        <v>104</v>
      </c>
      <c r="B24" s="43"/>
      <c r="C24" s="43"/>
      <c r="D24" s="43"/>
      <c r="E24" s="43"/>
      <c r="F24" s="43"/>
      <c r="G24" s="43"/>
      <c r="H24" s="43"/>
      <c r="I24" s="43"/>
      <c r="J24" s="43"/>
      <c r="K24" s="44"/>
    </row>
    <row r="25" spans="1:11" ht="30" customHeight="1" x14ac:dyDescent="0.2">
      <c r="A25" s="2" t="s">
        <v>105</v>
      </c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  <c r="G25" s="4" t="s">
        <v>111</v>
      </c>
      <c r="H25" s="5" t="s">
        <v>21</v>
      </c>
      <c r="I25" s="6" t="s">
        <v>22</v>
      </c>
      <c r="J25" s="31" t="s">
        <v>80</v>
      </c>
      <c r="K25" s="31" t="s">
        <v>81</v>
      </c>
    </row>
    <row r="26" spans="1:11" ht="30" customHeight="1" x14ac:dyDescent="0.2">
      <c r="A26" s="2" t="s">
        <v>112</v>
      </c>
      <c r="B26" s="3" t="s">
        <v>113</v>
      </c>
      <c r="C26" s="3" t="s">
        <v>107</v>
      </c>
      <c r="D26" s="3" t="s">
        <v>108</v>
      </c>
      <c r="E26" s="3" t="s">
        <v>114</v>
      </c>
      <c r="F26" s="3" t="s">
        <v>115</v>
      </c>
      <c r="G26" s="4" t="s">
        <v>111</v>
      </c>
      <c r="H26" s="7" t="s">
        <v>36</v>
      </c>
      <c r="I26" s="6" t="s">
        <v>22</v>
      </c>
      <c r="J26" s="31" t="s">
        <v>80</v>
      </c>
      <c r="K26" s="31" t="s">
        <v>81</v>
      </c>
    </row>
    <row r="27" spans="1:11" ht="30" customHeight="1" x14ac:dyDescent="0.2">
      <c r="A27" s="2" t="s">
        <v>116</v>
      </c>
      <c r="B27" s="3" t="s">
        <v>117</v>
      </c>
      <c r="C27" s="3" t="s">
        <v>107</v>
      </c>
      <c r="D27" s="3" t="s">
        <v>118</v>
      </c>
      <c r="E27" s="3" t="s">
        <v>119</v>
      </c>
      <c r="F27" s="3" t="s">
        <v>120</v>
      </c>
      <c r="G27" s="4" t="s">
        <v>111</v>
      </c>
      <c r="H27" s="7" t="s">
        <v>36</v>
      </c>
      <c r="I27" s="6" t="s">
        <v>22</v>
      </c>
      <c r="J27" s="31" t="s">
        <v>80</v>
      </c>
      <c r="K27" s="31" t="s">
        <v>81</v>
      </c>
    </row>
    <row r="28" spans="1:11" ht="30" customHeight="1" x14ac:dyDescent="0.2">
      <c r="A28" s="2" t="s">
        <v>121</v>
      </c>
      <c r="B28" s="3" t="s">
        <v>122</v>
      </c>
      <c r="C28" s="3" t="s">
        <v>107</v>
      </c>
      <c r="D28" s="3" t="s">
        <v>118</v>
      </c>
      <c r="E28" s="3" t="s">
        <v>123</v>
      </c>
      <c r="F28" s="3" t="s">
        <v>124</v>
      </c>
      <c r="G28" s="4" t="s">
        <v>111</v>
      </c>
      <c r="H28" s="7" t="s">
        <v>36</v>
      </c>
      <c r="I28" s="6" t="s">
        <v>22</v>
      </c>
      <c r="J28" s="31" t="s">
        <v>80</v>
      </c>
      <c r="K28" s="31" t="s">
        <v>81</v>
      </c>
    </row>
    <row r="29" spans="1:11" ht="18" customHeight="1" x14ac:dyDescent="0.2">
      <c r="A29" s="2" t="s">
        <v>125</v>
      </c>
      <c r="B29" s="3" t="s">
        <v>126</v>
      </c>
      <c r="C29" s="3" t="s">
        <v>107</v>
      </c>
      <c r="D29" s="3" t="s">
        <v>47</v>
      </c>
      <c r="E29" s="3" t="s">
        <v>127</v>
      </c>
      <c r="F29" s="3" t="s">
        <v>128</v>
      </c>
      <c r="G29" s="4" t="s">
        <v>111</v>
      </c>
      <c r="H29" s="5" t="s">
        <v>21</v>
      </c>
      <c r="I29" s="6" t="s">
        <v>22</v>
      </c>
      <c r="J29" s="31" t="s">
        <v>80</v>
      </c>
      <c r="K29" s="31" t="s">
        <v>81</v>
      </c>
    </row>
    <row r="30" spans="1:11" ht="30" customHeight="1" x14ac:dyDescent="0.2">
      <c r="A30" s="28" t="s">
        <v>129</v>
      </c>
      <c r="B30" s="3" t="s">
        <v>130</v>
      </c>
      <c r="C30" s="3" t="s">
        <v>107</v>
      </c>
      <c r="D30" s="3" t="s">
        <v>108</v>
      </c>
      <c r="E30" s="3" t="s">
        <v>131</v>
      </c>
      <c r="F30" s="3" t="s">
        <v>132</v>
      </c>
      <c r="G30" s="4" t="s">
        <v>111</v>
      </c>
      <c r="H30" s="29" t="s">
        <v>36</v>
      </c>
      <c r="I30" s="30" t="s">
        <v>22</v>
      </c>
      <c r="J30" s="34" t="s">
        <v>80</v>
      </c>
      <c r="K30" s="34" t="s">
        <v>81</v>
      </c>
    </row>
    <row r="31" spans="1:11" x14ac:dyDescent="0.2">
      <c r="A31" s="51" t="s">
        <v>133</v>
      </c>
      <c r="B31" s="43"/>
      <c r="C31" s="43"/>
      <c r="D31" s="43"/>
      <c r="E31" s="43"/>
      <c r="F31" s="43"/>
      <c r="G31" s="43"/>
      <c r="H31" s="43"/>
      <c r="I31" s="43"/>
      <c r="J31" s="43"/>
      <c r="K31" s="44"/>
    </row>
    <row r="32" spans="1:11" ht="24.75" customHeight="1" x14ac:dyDescent="0.2">
      <c r="A32" s="20" t="s">
        <v>134</v>
      </c>
      <c r="B32" s="21" t="s">
        <v>135</v>
      </c>
      <c r="C32" s="21" t="s">
        <v>136</v>
      </c>
      <c r="D32" s="21" t="s">
        <v>137</v>
      </c>
      <c r="E32" s="21" t="s">
        <v>138</v>
      </c>
      <c r="F32" s="21" t="s">
        <v>139</v>
      </c>
      <c r="G32" s="22" t="s">
        <v>35</v>
      </c>
      <c r="H32" s="23" t="s">
        <v>36</v>
      </c>
      <c r="I32" s="24" t="s">
        <v>22</v>
      </c>
      <c r="J32" s="35" t="s">
        <v>23</v>
      </c>
      <c r="K32" s="35" t="s">
        <v>24</v>
      </c>
    </row>
    <row r="33" spans="1:11" x14ac:dyDescent="0.2">
      <c r="A33" s="48" t="s">
        <v>140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11" ht="24.75" customHeight="1" x14ac:dyDescent="0.2">
      <c r="A34" s="20" t="s">
        <v>141</v>
      </c>
      <c r="B34" s="21" t="s">
        <v>142</v>
      </c>
      <c r="C34" s="21" t="s">
        <v>143</v>
      </c>
      <c r="D34" s="21" t="s">
        <v>144</v>
      </c>
      <c r="E34" s="21" t="s">
        <v>145</v>
      </c>
      <c r="F34" s="21" t="s">
        <v>146</v>
      </c>
      <c r="G34" s="22" t="s">
        <v>29</v>
      </c>
      <c r="H34" s="23" t="s">
        <v>36</v>
      </c>
      <c r="I34" s="24" t="s">
        <v>22</v>
      </c>
      <c r="J34" s="35" t="s">
        <v>23</v>
      </c>
      <c r="K34" s="35" t="s">
        <v>24</v>
      </c>
    </row>
    <row r="35" spans="1:11" x14ac:dyDescent="0.2">
      <c r="A35" s="20" t="s">
        <v>147</v>
      </c>
      <c r="B35" s="21" t="s">
        <v>23</v>
      </c>
      <c r="C35" s="21" t="s">
        <v>143</v>
      </c>
      <c r="D35" s="21" t="s">
        <v>24</v>
      </c>
      <c r="E35" s="21" t="s">
        <v>148</v>
      </c>
      <c r="F35" s="21" t="s">
        <v>146</v>
      </c>
      <c r="G35" s="22" t="s">
        <v>29</v>
      </c>
      <c r="H35" s="23" t="s">
        <v>36</v>
      </c>
      <c r="I35" s="24" t="s">
        <v>22</v>
      </c>
      <c r="J35" s="35" t="s">
        <v>23</v>
      </c>
      <c r="K35" s="35" t="s">
        <v>24</v>
      </c>
    </row>
    <row r="36" spans="1:11" x14ac:dyDescent="0.2">
      <c r="A36" s="20" t="s">
        <v>149</v>
      </c>
      <c r="B36" s="21" t="s">
        <v>41</v>
      </c>
      <c r="C36" s="21" t="s">
        <v>143</v>
      </c>
      <c r="D36" s="21" t="s">
        <v>42</v>
      </c>
      <c r="E36" s="21" t="s">
        <v>150</v>
      </c>
      <c r="F36" s="21" t="s">
        <v>146</v>
      </c>
      <c r="G36" s="22" t="s">
        <v>29</v>
      </c>
      <c r="H36" s="23" t="s">
        <v>103</v>
      </c>
      <c r="I36" s="24" t="s">
        <v>22</v>
      </c>
      <c r="J36" s="35" t="s">
        <v>41</v>
      </c>
      <c r="K36" s="35" t="s">
        <v>42</v>
      </c>
    </row>
    <row r="37" spans="1:11" x14ac:dyDescent="0.2">
      <c r="A37" s="20" t="s">
        <v>151</v>
      </c>
      <c r="B37" s="21" t="s">
        <v>152</v>
      </c>
      <c r="C37" s="21" t="s">
        <v>143</v>
      </c>
      <c r="D37" s="21" t="s">
        <v>153</v>
      </c>
      <c r="E37" s="21" t="s">
        <v>154</v>
      </c>
      <c r="F37" s="21" t="s">
        <v>146</v>
      </c>
      <c r="G37" s="22" t="s">
        <v>29</v>
      </c>
      <c r="H37" s="23" t="s">
        <v>103</v>
      </c>
      <c r="I37" s="24" t="s">
        <v>22</v>
      </c>
      <c r="J37" s="35" t="s">
        <v>152</v>
      </c>
      <c r="K37" s="35" t="s">
        <v>153</v>
      </c>
    </row>
    <row r="38" spans="1:11" x14ac:dyDescent="0.2">
      <c r="A38" s="20" t="s">
        <v>155</v>
      </c>
      <c r="B38" s="21" t="s">
        <v>55</v>
      </c>
      <c r="C38" s="21" t="s">
        <v>143</v>
      </c>
      <c r="D38" s="21" t="s">
        <v>56</v>
      </c>
      <c r="E38" s="21" t="s">
        <v>156</v>
      </c>
      <c r="F38" s="21" t="s">
        <v>146</v>
      </c>
      <c r="G38" s="22" t="s">
        <v>29</v>
      </c>
      <c r="H38" s="23" t="s">
        <v>36</v>
      </c>
      <c r="I38" s="24" t="s">
        <v>22</v>
      </c>
      <c r="J38" s="35" t="s">
        <v>55</v>
      </c>
      <c r="K38" s="35" t="s">
        <v>56</v>
      </c>
    </row>
    <row r="39" spans="1:11" x14ac:dyDescent="0.2">
      <c r="A39" s="20" t="s">
        <v>157</v>
      </c>
      <c r="B39" s="21" t="s">
        <v>80</v>
      </c>
      <c r="C39" s="21" t="s">
        <v>143</v>
      </c>
      <c r="D39" s="21" t="s">
        <v>81</v>
      </c>
      <c r="E39" s="21" t="s">
        <v>158</v>
      </c>
      <c r="F39" s="21" t="s">
        <v>146</v>
      </c>
      <c r="G39" s="22" t="s">
        <v>29</v>
      </c>
      <c r="H39" s="23" t="s">
        <v>36</v>
      </c>
      <c r="I39" s="24" t="s">
        <v>22</v>
      </c>
      <c r="J39" s="35" t="s">
        <v>80</v>
      </c>
      <c r="K39" s="35" t="s">
        <v>81</v>
      </c>
    </row>
    <row r="40" spans="1:11" ht="24.75" customHeight="1" x14ac:dyDescent="0.2"/>
    <row r="42" spans="1:11" ht="24.75" customHeight="1" x14ac:dyDescent="0.2">
      <c r="A42" s="27" t="s">
        <v>159</v>
      </c>
      <c r="B42" s="39"/>
      <c r="C42" s="39"/>
      <c r="D42" s="39"/>
      <c r="E42" s="39"/>
      <c r="F42" s="39"/>
      <c r="G42" s="40"/>
      <c r="H42" s="25">
        <f>COUNTIF(H4:H38,"Critical")</f>
        <v>10</v>
      </c>
      <c r="I42" s="27">
        <v>29</v>
      </c>
    </row>
  </sheetData>
  <mergeCells count="9">
    <mergeCell ref="A1:K1"/>
    <mergeCell ref="A9:K9"/>
    <mergeCell ref="A31:K31"/>
    <mergeCell ref="A18:K18"/>
    <mergeCell ref="A4:K4"/>
    <mergeCell ref="A24:K24"/>
    <mergeCell ref="A2:K2"/>
    <mergeCell ref="A33:K33"/>
    <mergeCell ref="A14:K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/>
  </sheetViews>
  <sheetFormatPr defaultRowHeight="15" x14ac:dyDescent="0.2"/>
  <cols>
    <col min="1" max="1" width="29.99609375" style="41" customWidth="1"/>
    <col min="2" max="2" width="13.98828125" style="41" customWidth="1"/>
    <col min="3" max="3" width="16.0078125" style="41" customWidth="1"/>
    <col min="4" max="4" width="13.98828125" style="41" customWidth="1"/>
    <col min="5" max="5" width="29.99609375" style="41" customWidth="1"/>
  </cols>
  <sheetData>
    <row r="1" spans="1:5" ht="30" customHeight="1" x14ac:dyDescent="0.2">
      <c r="A1" s="52" t="s">
        <v>160</v>
      </c>
      <c r="B1" s="47"/>
      <c r="C1" s="47"/>
      <c r="D1" s="47"/>
      <c r="E1" s="47"/>
    </row>
    <row r="2" spans="1:5" x14ac:dyDescent="0.2">
      <c r="A2" s="1" t="s">
        <v>4</v>
      </c>
      <c r="B2" s="1" t="s">
        <v>161</v>
      </c>
      <c r="C2" s="1" t="s">
        <v>162</v>
      </c>
      <c r="D2" s="1" t="s">
        <v>163</v>
      </c>
      <c r="E2" s="1" t="s">
        <v>164</v>
      </c>
    </row>
    <row r="3" spans="1:5" ht="21.95" customHeight="1" x14ac:dyDescent="0.2">
      <c r="A3" s="2" t="s">
        <v>16</v>
      </c>
      <c r="B3" s="4">
        <v>4</v>
      </c>
      <c r="C3" s="4">
        <v>2</v>
      </c>
      <c r="D3" s="4">
        <v>2</v>
      </c>
      <c r="E3" s="4" t="s">
        <v>165</v>
      </c>
    </row>
    <row r="4" spans="1:5" ht="21.95" customHeight="1" x14ac:dyDescent="0.2">
      <c r="A4" s="8" t="s">
        <v>46</v>
      </c>
      <c r="B4" s="10">
        <v>4</v>
      </c>
      <c r="C4" s="10">
        <v>2</v>
      </c>
      <c r="D4" s="10">
        <v>2</v>
      </c>
      <c r="E4" s="10" t="s">
        <v>166</v>
      </c>
    </row>
    <row r="5" spans="1:5" ht="21.95" customHeight="1" x14ac:dyDescent="0.2">
      <c r="A5" s="8" t="s">
        <v>69</v>
      </c>
      <c r="B5" s="10">
        <v>3</v>
      </c>
      <c r="C5" s="10">
        <v>3</v>
      </c>
      <c r="D5" s="10">
        <v>0</v>
      </c>
      <c r="E5" s="10" t="s">
        <v>47</v>
      </c>
    </row>
    <row r="6" spans="1:5" ht="21.95" customHeight="1" x14ac:dyDescent="0.2">
      <c r="A6" s="14" t="s">
        <v>85</v>
      </c>
      <c r="B6" s="16">
        <v>5</v>
      </c>
      <c r="C6" s="16">
        <v>1</v>
      </c>
      <c r="D6" s="16">
        <v>3</v>
      </c>
      <c r="E6" s="16" t="s">
        <v>167</v>
      </c>
    </row>
    <row r="7" spans="1:5" ht="21.95" customHeight="1" x14ac:dyDescent="0.2">
      <c r="A7" s="2" t="s">
        <v>107</v>
      </c>
      <c r="B7" s="4">
        <v>6</v>
      </c>
      <c r="C7" s="4">
        <v>2</v>
      </c>
      <c r="D7" s="4">
        <v>4</v>
      </c>
      <c r="E7" s="4" t="s">
        <v>168</v>
      </c>
    </row>
    <row r="8" spans="1:5" ht="21.95" customHeight="1" x14ac:dyDescent="0.2">
      <c r="A8" s="20" t="s">
        <v>136</v>
      </c>
      <c r="B8" s="22">
        <v>1</v>
      </c>
      <c r="C8" s="22">
        <v>0</v>
      </c>
      <c r="D8" s="22">
        <v>1</v>
      </c>
      <c r="E8" s="22" t="s">
        <v>137</v>
      </c>
    </row>
    <row r="9" spans="1:5" ht="21.95" customHeight="1" x14ac:dyDescent="0.2">
      <c r="A9" s="20" t="s">
        <v>143</v>
      </c>
      <c r="B9" s="22">
        <v>6</v>
      </c>
      <c r="C9" s="22">
        <v>0</v>
      </c>
      <c r="D9" s="22">
        <v>4</v>
      </c>
      <c r="E9" s="22" t="s">
        <v>144</v>
      </c>
    </row>
    <row r="10" spans="1:5" x14ac:dyDescent="0.2">
      <c r="A10" s="27" t="s">
        <v>169</v>
      </c>
      <c r="B10" s="27">
        <v>29</v>
      </c>
      <c r="C10" s="25">
        <f>SUM(C3:C9)</f>
        <v>10</v>
      </c>
      <c r="D10" s="26">
        <f>SUM(D3:D9)</f>
        <v>16</v>
      </c>
      <c r="E10" s="27" t="s">
        <v>170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/>
  </sheetViews>
  <sheetFormatPr defaultRowHeight="15" x14ac:dyDescent="0.2"/>
  <cols>
    <col min="1" max="1" width="9.953125" style="41" customWidth="1"/>
    <col min="2" max="2" width="29.99609375" style="41" customWidth="1"/>
    <col min="3" max="3" width="13.98828125" style="41" customWidth="1"/>
    <col min="4" max="4" width="27.98046875" style="41" customWidth="1"/>
  </cols>
  <sheetData>
    <row r="1" spans="1:4" ht="30" customHeight="1" x14ac:dyDescent="0.2">
      <c r="A1" s="52" t="s">
        <v>171</v>
      </c>
      <c r="B1" s="47"/>
      <c r="C1" s="47"/>
      <c r="D1" s="47"/>
    </row>
    <row r="2" spans="1:4" x14ac:dyDescent="0.2">
      <c r="A2" s="1" t="s">
        <v>2</v>
      </c>
      <c r="B2" s="1" t="s">
        <v>3</v>
      </c>
      <c r="C2" s="1" t="s">
        <v>9</v>
      </c>
      <c r="D2" s="1" t="s">
        <v>5</v>
      </c>
    </row>
    <row r="3" spans="1:4" ht="21.95" customHeight="1" x14ac:dyDescent="0.2">
      <c r="A3" s="4" t="s">
        <v>14</v>
      </c>
      <c r="B3" s="3" t="s">
        <v>15</v>
      </c>
      <c r="C3" s="5" t="s">
        <v>21</v>
      </c>
      <c r="D3" s="3" t="s">
        <v>17</v>
      </c>
    </row>
    <row r="4" spans="1:4" ht="21.95" customHeight="1" x14ac:dyDescent="0.2">
      <c r="A4" s="4" t="s">
        <v>25</v>
      </c>
      <c r="B4" s="3" t="s">
        <v>26</v>
      </c>
      <c r="C4" s="5" t="s">
        <v>21</v>
      </c>
      <c r="D4" s="3" t="s">
        <v>17</v>
      </c>
    </row>
    <row r="5" spans="1:4" ht="21.95" customHeight="1" x14ac:dyDescent="0.2">
      <c r="A5" s="4" t="s">
        <v>44</v>
      </c>
      <c r="B5" s="3" t="s">
        <v>45</v>
      </c>
      <c r="C5" s="5" t="s">
        <v>21</v>
      </c>
      <c r="D5" s="3" t="s">
        <v>47</v>
      </c>
    </row>
    <row r="6" spans="1:4" ht="21.95" customHeight="1" x14ac:dyDescent="0.2">
      <c r="A6" s="4" t="s">
        <v>51</v>
      </c>
      <c r="B6" s="3" t="s">
        <v>52</v>
      </c>
      <c r="C6" s="5" t="s">
        <v>21</v>
      </c>
      <c r="D6" s="3" t="s">
        <v>47</v>
      </c>
    </row>
    <row r="7" spans="1:4" ht="21.95" customHeight="1" x14ac:dyDescent="0.2">
      <c r="A7" s="4" t="s">
        <v>67</v>
      </c>
      <c r="B7" s="3" t="s">
        <v>68</v>
      </c>
      <c r="C7" s="5" t="s">
        <v>21</v>
      </c>
      <c r="D7" s="3" t="s">
        <v>47</v>
      </c>
    </row>
    <row r="8" spans="1:4" ht="21.95" customHeight="1" x14ac:dyDescent="0.2">
      <c r="A8" s="4" t="s">
        <v>72</v>
      </c>
      <c r="B8" s="3" t="s">
        <v>73</v>
      </c>
      <c r="C8" s="5" t="s">
        <v>21</v>
      </c>
      <c r="D8" s="3" t="s">
        <v>47</v>
      </c>
    </row>
    <row r="9" spans="1:4" ht="21.95" customHeight="1" x14ac:dyDescent="0.2">
      <c r="A9" s="4" t="s">
        <v>83</v>
      </c>
      <c r="B9" s="3" t="s">
        <v>84</v>
      </c>
      <c r="C9" s="5" t="s">
        <v>21</v>
      </c>
      <c r="D9" s="3" t="s">
        <v>86</v>
      </c>
    </row>
    <row r="10" spans="1:4" ht="21.95" customHeight="1" x14ac:dyDescent="0.2">
      <c r="A10" s="4" t="s">
        <v>105</v>
      </c>
      <c r="B10" s="3" t="s">
        <v>106</v>
      </c>
      <c r="C10" s="5" t="s">
        <v>21</v>
      </c>
      <c r="D10" s="3" t="s">
        <v>108</v>
      </c>
    </row>
    <row r="11" spans="1:4" ht="21.95" customHeight="1" x14ac:dyDescent="0.2">
      <c r="A11" s="4" t="s">
        <v>125</v>
      </c>
      <c r="B11" s="3" t="s">
        <v>126</v>
      </c>
      <c r="C11" s="5" t="s">
        <v>21</v>
      </c>
      <c r="D11" s="3" t="s">
        <v>47</v>
      </c>
    </row>
    <row r="12" spans="1:4" ht="21.95" customHeight="1" x14ac:dyDescent="0.2">
      <c r="A12" s="4" t="s">
        <v>76</v>
      </c>
      <c r="B12" s="3" t="s">
        <v>77</v>
      </c>
      <c r="C12" s="5" t="s">
        <v>21</v>
      </c>
      <c r="D12" s="3" t="s">
        <v>47</v>
      </c>
    </row>
    <row r="13" spans="1:4" ht="21.95" customHeight="1" x14ac:dyDescent="0.2">
      <c r="A13" s="16" t="s">
        <v>30</v>
      </c>
      <c r="B13" s="15" t="s">
        <v>31</v>
      </c>
      <c r="C13" s="19" t="s">
        <v>36</v>
      </c>
      <c r="D13" s="15" t="s">
        <v>32</v>
      </c>
    </row>
    <row r="14" spans="1:4" ht="21.95" customHeight="1" x14ac:dyDescent="0.2">
      <c r="A14" s="16" t="s">
        <v>37</v>
      </c>
      <c r="B14" s="15" t="s">
        <v>38</v>
      </c>
      <c r="C14" s="19" t="s">
        <v>36</v>
      </c>
      <c r="D14" s="15" t="s">
        <v>32</v>
      </c>
    </row>
    <row r="15" spans="1:4" ht="21.95" customHeight="1" x14ac:dyDescent="0.2">
      <c r="A15" s="16" t="s">
        <v>57</v>
      </c>
      <c r="B15" s="15" t="s">
        <v>58</v>
      </c>
      <c r="C15" s="19" t="s">
        <v>36</v>
      </c>
      <c r="D15" s="15" t="s">
        <v>17</v>
      </c>
    </row>
    <row r="16" spans="1:4" ht="21.95" customHeight="1" x14ac:dyDescent="0.2">
      <c r="A16" s="16" t="s">
        <v>61</v>
      </c>
      <c r="B16" s="15" t="s">
        <v>62</v>
      </c>
      <c r="C16" s="19" t="s">
        <v>36</v>
      </c>
      <c r="D16" s="15" t="s">
        <v>47</v>
      </c>
    </row>
    <row r="17" spans="1:4" ht="21.95" customHeight="1" x14ac:dyDescent="0.2">
      <c r="A17" s="16" t="s">
        <v>89</v>
      </c>
      <c r="B17" s="15" t="s">
        <v>90</v>
      </c>
      <c r="C17" s="19" t="s">
        <v>36</v>
      </c>
      <c r="D17" s="15" t="s">
        <v>86</v>
      </c>
    </row>
    <row r="18" spans="1:4" ht="21.95" customHeight="1" x14ac:dyDescent="0.2">
      <c r="A18" s="16" t="s">
        <v>92</v>
      </c>
      <c r="B18" s="15" t="s">
        <v>93</v>
      </c>
      <c r="C18" s="19" t="s">
        <v>36</v>
      </c>
      <c r="D18" s="15" t="s">
        <v>86</v>
      </c>
    </row>
    <row r="19" spans="1:4" ht="21.95" customHeight="1" x14ac:dyDescent="0.2">
      <c r="A19" s="16" t="s">
        <v>95</v>
      </c>
      <c r="B19" s="15" t="s">
        <v>96</v>
      </c>
      <c r="C19" s="19" t="s">
        <v>36</v>
      </c>
      <c r="D19" s="15" t="s">
        <v>17</v>
      </c>
    </row>
    <row r="20" spans="1:4" ht="21.95" customHeight="1" x14ac:dyDescent="0.2">
      <c r="A20" s="16" t="s">
        <v>112</v>
      </c>
      <c r="B20" s="15" t="s">
        <v>113</v>
      </c>
      <c r="C20" s="19" t="s">
        <v>36</v>
      </c>
      <c r="D20" s="15" t="s">
        <v>108</v>
      </c>
    </row>
    <row r="21" spans="1:4" ht="21.95" customHeight="1" x14ac:dyDescent="0.2">
      <c r="A21" s="16" t="s">
        <v>116</v>
      </c>
      <c r="B21" s="15" t="s">
        <v>117</v>
      </c>
      <c r="C21" s="19" t="s">
        <v>36</v>
      </c>
      <c r="D21" s="15" t="s">
        <v>118</v>
      </c>
    </row>
    <row r="22" spans="1:4" ht="21.95" customHeight="1" x14ac:dyDescent="0.2">
      <c r="A22" s="16" t="s">
        <v>121</v>
      </c>
      <c r="B22" s="15" t="s">
        <v>122</v>
      </c>
      <c r="C22" s="19" t="s">
        <v>36</v>
      </c>
      <c r="D22" s="15" t="s">
        <v>118</v>
      </c>
    </row>
    <row r="23" spans="1:4" ht="21.95" customHeight="1" x14ac:dyDescent="0.2">
      <c r="A23" s="16" t="s">
        <v>134</v>
      </c>
      <c r="B23" s="15" t="s">
        <v>135</v>
      </c>
      <c r="C23" s="19" t="s">
        <v>36</v>
      </c>
      <c r="D23" s="15" t="s">
        <v>137</v>
      </c>
    </row>
    <row r="24" spans="1:4" x14ac:dyDescent="0.2">
      <c r="A24" s="16" t="s">
        <v>129</v>
      </c>
      <c r="B24" s="15" t="s">
        <v>130</v>
      </c>
      <c r="C24" s="19" t="s">
        <v>36</v>
      </c>
      <c r="D24" s="15" t="s">
        <v>108</v>
      </c>
    </row>
    <row r="25" spans="1:4" x14ac:dyDescent="0.2">
      <c r="A25" s="16" t="s">
        <v>141</v>
      </c>
      <c r="B25" s="15" t="s">
        <v>23</v>
      </c>
      <c r="C25" s="19" t="s">
        <v>36</v>
      </c>
      <c r="D25" s="15" t="s">
        <v>24</v>
      </c>
    </row>
    <row r="26" spans="1:4" x14ac:dyDescent="0.2">
      <c r="A26" s="16" t="s">
        <v>151</v>
      </c>
      <c r="B26" s="15" t="s">
        <v>55</v>
      </c>
      <c r="C26" s="19" t="s">
        <v>36</v>
      </c>
      <c r="D26" s="15" t="s">
        <v>56</v>
      </c>
    </row>
    <row r="27" spans="1:4" x14ac:dyDescent="0.2">
      <c r="A27" s="16" t="s">
        <v>155</v>
      </c>
      <c r="B27" s="15" t="s">
        <v>80</v>
      </c>
      <c r="C27" s="19" t="s">
        <v>36</v>
      </c>
      <c r="D27" s="15" t="s">
        <v>81</v>
      </c>
    </row>
    <row r="28" spans="1:4" x14ac:dyDescent="0.2">
      <c r="A28" s="10" t="s">
        <v>99</v>
      </c>
      <c r="B28" s="9" t="s">
        <v>100</v>
      </c>
      <c r="C28" s="12" t="s">
        <v>103</v>
      </c>
      <c r="D28" s="9" t="s">
        <v>17</v>
      </c>
    </row>
    <row r="29" spans="1:4" x14ac:dyDescent="0.2">
      <c r="A29" s="10" t="s">
        <v>147</v>
      </c>
      <c r="B29" s="9" t="s">
        <v>41</v>
      </c>
      <c r="C29" s="12" t="s">
        <v>103</v>
      </c>
      <c r="D29" s="9" t="s">
        <v>42</v>
      </c>
    </row>
    <row r="30" spans="1:4" x14ac:dyDescent="0.2">
      <c r="A30" s="10" t="s">
        <v>149</v>
      </c>
      <c r="B30" s="9" t="s">
        <v>152</v>
      </c>
      <c r="C30" s="12" t="s">
        <v>103</v>
      </c>
      <c r="D30" s="9" t="s">
        <v>153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</vt:lpstr>
      <vt:lpstr>Summary by Category</vt:lpstr>
      <vt:lpstr>Criticality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Lawrencia Armah</cp:lastModifiedBy>
  <dcterms:created xsi:type="dcterms:W3CDTF">2026-03-22T10:12:43Z</dcterms:created>
  <dcterms:modified xsi:type="dcterms:W3CDTF">2026-03-25T21:02:58Z</dcterms:modified>
</cp:coreProperties>
</file>