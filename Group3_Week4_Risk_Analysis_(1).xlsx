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ownloads\"/>
    </mc:Choice>
  </mc:AlternateContent>
  <bookViews>
    <workbookView xWindow="0" yWindow="0" windowWidth="19200" windowHeight="7890" activeTab="3"/>
  </bookViews>
  <sheets>
    <sheet name="Cover Page" sheetId="1" r:id="rId1"/>
    <sheet name="Control Page" sheetId="2" r:id="rId2"/>
    <sheet name="Risk Parameters" sheetId="3" r:id="rId3"/>
    <sheet name="RA &amp; TP 2026" sheetId="4" r:id="rId4"/>
    <sheet name="Risk Matrix" sheetId="5" r:id="rId5"/>
  </sheets>
  <calcPr calcId="152511"/>
</workbook>
</file>

<file path=xl/calcChain.xml><?xml version="1.0" encoding="utf-8"?>
<calcChain xmlns="http://schemas.openxmlformats.org/spreadsheetml/2006/main">
  <c r="F9" i="4" l="1"/>
  <c r="F8" i="4"/>
  <c r="F7" i="4"/>
  <c r="F6" i="4"/>
  <c r="F5" i="4"/>
  <c r="F4" i="4"/>
  <c r="F3" i="4"/>
  <c r="F2" i="4"/>
</calcChain>
</file>

<file path=xl/sharedStrings.xml><?xml version="1.0" encoding="utf-8"?>
<sst xmlns="http://schemas.openxmlformats.org/spreadsheetml/2006/main" count="228" uniqueCount="185">
  <si>
    <t>Information Security Risk Assessment and Treatment Plan</t>
  </si>
  <si>
    <t>Field</t>
  </si>
  <si>
    <t>Details</t>
  </si>
  <si>
    <t>Date Created</t>
  </si>
  <si>
    <t>Document Author</t>
  </si>
  <si>
    <t>Group 3</t>
  </si>
  <si>
    <t>Document Owner</t>
  </si>
  <si>
    <t>SikaFlow (IT Security Team)</t>
  </si>
  <si>
    <t>Date Signed Off</t>
  </si>
  <si>
    <t>Reference No.</t>
  </si>
  <si>
    <t>SIKAFLOW-RA-2026-001</t>
  </si>
  <si>
    <t>Approval List</t>
  </si>
  <si>
    <t>Name</t>
  </si>
  <si>
    <t>Role</t>
  </si>
  <si>
    <t>Signature</t>
  </si>
  <si>
    <t>Date</t>
  </si>
  <si>
    <t>Version &amp; Update History</t>
  </si>
  <si>
    <t>Version</t>
  </si>
  <si>
    <t>Description</t>
  </si>
  <si>
    <t>Author</t>
  </si>
  <si>
    <t>Distribution List</t>
  </si>
  <si>
    <t>Department</t>
  </si>
  <si>
    <t>Change Control</t>
  </si>
  <si>
    <t>Probability (Likelihood)</t>
  </si>
  <si>
    <t>Impact (Consequence)</t>
  </si>
  <si>
    <t>Value</t>
  </si>
  <si>
    <t>Guidelines</t>
  </si>
  <si>
    <t>Rare</t>
  </si>
  <si>
    <t>Once in 10 years</t>
  </si>
  <si>
    <t>Insignificant</t>
  </si>
  <si>
    <t>Unlikely</t>
  </si>
  <si>
    <t>Once in 5 years</t>
  </si>
  <si>
    <t>Minor</t>
  </si>
  <si>
    <t>Moderate</t>
  </si>
  <si>
    <t>Likely</t>
  </si>
  <si>
    <t>Once per quarter</t>
  </si>
  <si>
    <t>High</t>
  </si>
  <si>
    <t>Almost Certain</t>
  </si>
  <si>
    <t>Significant</t>
  </si>
  <si>
    <t>Asset</t>
  </si>
  <si>
    <t>Likelihood (1-5)</t>
  </si>
  <si>
    <t>Impact (1-5)</t>
  </si>
  <si>
    <t>Risk Score</t>
  </si>
  <si>
    <t>Risk Level</t>
  </si>
  <si>
    <t>Existing Controls</t>
  </si>
  <si>
    <t>Owner</t>
  </si>
  <si>
    <t>Status</t>
  </si>
  <si>
    <t>Server (DMZ)</t>
  </si>
  <si>
    <t>FTP Backdoor (vsftpd 2.3.4)</t>
  </si>
  <si>
    <t>Critical</t>
  </si>
  <si>
    <t>IT Security Team</t>
  </si>
  <si>
    <t>Open</t>
  </si>
  <si>
    <t>Core Server</t>
  </si>
  <si>
    <t>Bind Shell (Port 1524)</t>
  </si>
  <si>
    <t>Database</t>
  </si>
  <si>
    <t>MySQL Exposure</t>
  </si>
  <si>
    <t>DB Admin</t>
  </si>
  <si>
    <t>API Server</t>
  </si>
  <si>
    <t>Apache DoS (2.2.8)</t>
  </si>
  <si>
    <t>IT Team</t>
  </si>
  <si>
    <t>Network System</t>
  </si>
  <si>
    <t>Telnet</t>
  </si>
  <si>
    <t>Network Admin</t>
  </si>
  <si>
    <t>Network</t>
  </si>
  <si>
    <t>Samba (SMB)</t>
  </si>
  <si>
    <t>Outdated SMB</t>
  </si>
  <si>
    <t>Server</t>
  </si>
  <si>
    <t>R Services</t>
  </si>
  <si>
    <t>Internal Network</t>
  </si>
  <si>
    <t>Windows SMB Exposure</t>
  </si>
  <si>
    <t>Medium</t>
  </si>
  <si>
    <t>Impact →</t>
  </si>
  <si>
    <t>Likelihood ↓</t>
  </si>
  <si>
    <t>1</t>
  </si>
  <si>
    <t>2</t>
  </si>
  <si>
    <t>3</t>
  </si>
  <si>
    <t>4</t>
  </si>
  <si>
    <t>5</t>
  </si>
  <si>
    <t>Risk Score = Livelihood x Impact</t>
  </si>
  <si>
    <t>Business Impact</t>
  </si>
  <si>
    <t>Full system compromise and financial data breach</t>
  </si>
  <si>
    <t>No authentication controls</t>
  </si>
  <si>
    <t>Root access takeover of entire system</t>
  </si>
  <si>
    <t>No access restrictions</t>
  </si>
  <si>
    <t>Unauthorized access to financial records</t>
  </si>
  <si>
    <t>Weak authentication</t>
  </si>
  <si>
    <t>Service disruption affecting transactions</t>
  </si>
  <si>
    <t>Outdated patching</t>
  </si>
  <si>
    <t>Credential theft and unauthorized access</t>
  </si>
  <si>
    <t>No encryption</t>
  </si>
  <si>
    <t>Lateral movement across network</t>
  </si>
  <si>
    <t>Remote command execution risk</t>
  </si>
  <si>
    <t>Legacy insecure services</t>
  </si>
  <si>
    <t>Internal exploitation risk</t>
  </si>
  <si>
    <t>Firewall partially configured</t>
  </si>
  <si>
    <t xml:space="preserve"> Priority</t>
  </si>
  <si>
    <t>Immediate</t>
  </si>
  <si>
    <t>Score Range</t>
  </si>
  <si>
    <t>Colour</t>
  </si>
  <si>
    <t>1 – 5</t>
  </si>
  <si>
    <t>Low</t>
  </si>
  <si>
    <t>6 – 10</t>
  </si>
  <si>
    <t>11 – 15</t>
  </si>
  <si>
    <t>16 – 25</t>
  </si>
  <si>
    <t>Green</t>
  </si>
  <si>
    <t>Yellow</t>
  </si>
  <si>
    <t>Orange</t>
  </si>
  <si>
    <t xml:space="preserve"> Red</t>
  </si>
  <si>
    <t>Standard Risk Matrix Colour Code</t>
  </si>
  <si>
    <t>Meaning</t>
  </si>
  <si>
    <t xml:space="preserve"> Bottom Left (Safe Zone)</t>
  </si>
  <si>
    <t>Manageable Risk (Medium)</t>
  </si>
  <si>
    <t>Serious Risk (High)</t>
  </si>
  <si>
    <t>Danger Zone (Critical)</t>
  </si>
  <si>
    <t>15th April, 2026</t>
  </si>
  <si>
    <t>1. Highly unlikely in SikaFlow’s digital environment</t>
  </si>
  <si>
    <t xml:space="preserve">2. Requires multiple failures of security controls  </t>
  </si>
  <si>
    <t>3. No known history of occurrence in similar fintech systems</t>
  </si>
  <si>
    <t xml:space="preserve">4.  Would require advanced, targeted attack  </t>
  </si>
  <si>
    <t xml:space="preserve">1. Possible but not expected under normal operations </t>
  </si>
  <si>
    <t>2. Requires some level of attacker skill or internal weakness</t>
  </si>
  <si>
    <t>3.  Limited exposure due to existing security controls (e.g., firewall)</t>
  </si>
  <si>
    <t xml:space="preserve">4. May occur under unusual circumstances  </t>
  </si>
  <si>
    <t xml:space="preserve">1. Could occur within normal fintech operations  </t>
  </si>
  <si>
    <t>2.  Exploitable if vulnerabilities are left unpatched</t>
  </si>
  <si>
    <t>3. Moderate exposure through internet-facing systems</t>
  </si>
  <si>
    <t xml:space="preserve">4. Common in organizations with similar infrastructure </t>
  </si>
  <si>
    <t xml:space="preserve">1. High chance due to exposed services or weak configurations </t>
  </si>
  <si>
    <t xml:space="preserve">2. Easily exploitable vulnerabilities (e.g., outdated software, open ports)  
</t>
  </si>
  <si>
    <t xml:space="preserve">3. Frequently targeted in fintech environments (e.g., credential attacks)  </t>
  </si>
  <si>
    <t xml:space="preserve">4. Limited or ineffective security controls in place  
</t>
  </si>
  <si>
    <t>Annually</t>
  </si>
  <si>
    <t>Frequent / Monthly</t>
  </si>
  <si>
    <t xml:space="preserve">1.  Actively being exploited in real-world fintech attacks  </t>
  </si>
  <si>
    <t xml:space="preserve">2. No authentication or protection mechanisms in place  </t>
  </si>
  <si>
    <t xml:space="preserve">3. High exposure to the internet (e.g., public-facing services)  </t>
  </si>
  <si>
    <t xml:space="preserve">4.  Attack requires minimal skill or effort (script kiddies) </t>
  </si>
  <si>
    <t xml:space="preserve">2. No disruption to digital payment services  </t>
  </si>
  <si>
    <t xml:space="preserve">3. No impact on customer trust  </t>
  </si>
  <si>
    <t xml:space="preserve">4. No regulatory or compliance implications  </t>
  </si>
  <si>
    <t xml:space="preserve">1. Small financial loss with no customer impact  </t>
  </si>
  <si>
    <t xml:space="preserve">2. Temporary disruption to non-critical services </t>
  </si>
  <si>
    <t>3. Minimal internal inconvenience</t>
  </si>
  <si>
    <t xml:space="preserve">4. No media attention  
</t>
  </si>
  <si>
    <t xml:space="preserve">2. Disruption to some customer transactions </t>
  </si>
  <si>
    <t xml:space="preserve">1. No financial loss to SikaFlow or customers </t>
  </si>
  <si>
    <t>3. Negative Publicity within the local market</t>
  </si>
  <si>
    <t xml:space="preserve">4. Possible customer complaints or dissatisfaction  </t>
  </si>
  <si>
    <t xml:space="preserve">1. Noticeable financial loss or minor fraud incident  </t>
  </si>
  <si>
    <t>1. Significant financial loss or multiple fraud incidents</t>
  </si>
  <si>
    <t xml:space="preserve">2. Disruption of core fintech services (payments, transfers)  
</t>
  </si>
  <si>
    <t xml:space="preserve">3. National media attention and reputational damage  </t>
  </si>
  <si>
    <t xml:space="preserve">4. Potential regulatory scrutiny (e.g., Bank of Ghana compliance issues)  
</t>
  </si>
  <si>
    <t xml:space="preserve">1. Major financial loss affecting customers and business operations  
</t>
  </si>
  <si>
    <t xml:space="preserve">2. Full system compromise or prolonged service outage  
</t>
  </si>
  <si>
    <t xml:space="preserve">3. Loss of sensitive financial data (customer accounts, transactions)  
</t>
  </si>
  <si>
    <t xml:space="preserve">4. Severe reputational damage and loss of customer trust </t>
  </si>
  <si>
    <t xml:space="preserve">5. Regulatory penalties or legal action from authorities </t>
  </si>
  <si>
    <t>Risk Assessment Team</t>
  </si>
  <si>
    <t>April, 2026</t>
  </si>
  <si>
    <t>Updated Risk Scoring and Mitigation Strategies</t>
  </si>
  <si>
    <t>Risk and Compliance Team</t>
  </si>
  <si>
    <t>Compliance</t>
  </si>
  <si>
    <t>The contents of this document are subject to change control and may only be modified with proper authorization and approval from SikaFlow’s IT Security and Risk Management teams.</t>
  </si>
  <si>
    <t xml:space="preserve"> CVSS  Score</t>
  </si>
  <si>
    <t>Treatment Action / Mitigation Recommendations</t>
  </si>
  <si>
    <t>1. Immediately disable the FTP service if not required for business operations
2. Remove vulnerable version of vsftpd (2.3.4) and install secure alternative                                                                                                   3.Restrict access to file transfer services using firewall rules (block port 21 externally)                                                                                            4.Enforce Strong Authentication (Disable anonymous login)</t>
  </si>
  <si>
    <t xml:space="preserve">1. Identify and terminate unauthorized processes running bind shells
2. Close all unnecessary open ports using firewall configuration                                                                                                     3.Implement host-based intrusion detection system (HIDS)                                                                                            4.Apply endpoint protection/EDR to detect malicious activity                                 </t>
  </si>
  <si>
    <t>1. Restrict MySQL access to internal network only (bind to localhost or private IP)
2. Change default credentials and enforce strong password policies                                                                                                     3.Configure firewall rules to block external access to port 3306                                                                                            4.Perform regular backups and secure backup storage</t>
  </si>
  <si>
    <t>1. Update Apache server to the latest secure version
2. Implement load balancing to distribute traffic                                                                                                    3.Deploy Web Application Firewall (WAF) to filter malicious traffic                                                                                            4.Monitor traffic spikes and set alerts for abnormal activity</t>
  </si>
  <si>
    <t>1. Disable Telnet service immediately
2. Replace with secure protocol such as SSH                                                                                                    3.Enforce encrypted communication for all remote access                                                                                            4.Implement multi-factor authentication (MFA) for remote login</t>
  </si>
  <si>
    <t>1. Disable SMBv1 protocol and enforce SMBv2/SMBv3
2. Apply latest security patches for SMB services                                                                                                     3.Restrict SMB access using firewall rules (block ports 445 externally)                                                                                            4.Implement network segmentation to limit lateral movement</t>
  </si>
  <si>
    <t>1. Disable all R services as they are outdated and insecure
2. Replace with SSH for secure remote access                                                                                                     3.Enforce authentication and encryption mechanisms                                                                                            4.Monitor systems for unauthorized remote access attempts</t>
  </si>
  <si>
    <t>IT Manager</t>
  </si>
  <si>
    <t>Risk</t>
  </si>
  <si>
    <t>Threat Source</t>
  </si>
  <si>
    <t>External attackers, automated exploitation bots, script kiddies using public exploit frameworks targeting exposed FTP services.</t>
  </si>
  <si>
    <t>Advanced attackers, malware payloads, internal malicious actors deploying backdoors.</t>
  </si>
  <si>
    <t>External attackers scanning open ports, automated database exploitation tools, insider threats due to misconfiguration.</t>
  </si>
  <si>
    <t>Network sniffers, man-in-the-middle attackers, automated credential harvesting tools.</t>
  </si>
  <si>
    <t>Botnets, Distributed Denial of Service attack groups, malicious competitors, automated traffic flood tools.</t>
  </si>
  <si>
    <t>Worm-based malware (e.g., EternalBlue-style exploits), external attackers, internal misuse of file-sharing services.</t>
  </si>
  <si>
    <t>External attackers targeting legacy UNIX services, automated scanning tools, insider misuse.</t>
  </si>
  <si>
    <t>1. Disable SMBv1 completely (very insecure legacy protocol)
2. Block port 445 from external networks (firewall rule)                                                                                                     3.Use VPN + internal network segmentation for file sharing                                                                                          4.Conduct periodic vulnerability assessments and penetration testing</t>
  </si>
  <si>
    <t>Compromised internal hosts spreading laterally via SMB, External attackers (cybercriminals) scanning open SMB ports (usually port 445)</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</si>
</sst>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b/>
      <sz val="14"/>
      <name val="Calibri"/>
    </font>
    <font>
      <b/>
      <sz val="11"/>
      <name val="Calibri"/>
    </font>
    <font>
      <b/>
      <sz val="11"/>
      <color theme="1"/>
      <name val="Calibri"/>
      <family val="2"/>
      <scheme val="minor"/>
    </font>
  </fonts>
  <fills count="15">
    <fill>
      <patternFill patternType="none"/>
    </fill>
    <fill>
      <patternFill patternType="gray125"/>
    </fill>
    <fill>
      <patternFill patternType="solid">
        <fgColor rgb="FF00FF00"/>
        <bgColor rgb="FF00FF00"/>
      </patternFill>
    </fill>
    <fill>
      <patternFill patternType="solid">
        <fgColor rgb="FFFFFF00"/>
        <bgColor rgb="FFFFFF00"/>
      </patternFill>
    </fill>
    <fill>
      <patternFill patternType="solid">
        <fgColor rgb="FFFFFF00"/>
        <bgColor indexed="64"/>
      </patternFill>
    </fill>
    <fill>
      <patternFill patternType="solid">
        <fgColor theme="3" tint="0.39997558519241921"/>
        <bgColor indexed="64"/>
      </patternFill>
    </fill>
    <fill>
      <patternFill patternType="solid">
        <fgColor rgb="FFFFFF00"/>
        <bgColor rgb="FF00FF00"/>
      </patternFill>
    </fill>
    <fill>
      <patternFill patternType="solid">
        <fgColor rgb="FFFFC000"/>
        <bgColor rgb="FF00FF00"/>
      </patternFill>
    </fill>
    <fill>
      <patternFill patternType="solid">
        <fgColor rgb="FFFFC000"/>
        <bgColor rgb="FFFFFF00"/>
      </patternFill>
    </fill>
    <fill>
      <patternFill patternType="solid">
        <fgColor rgb="FFFF0000"/>
        <bgColor rgb="FFFFFF00"/>
      </patternFill>
    </fill>
    <fill>
      <patternFill patternType="solid">
        <fgColor rgb="FFFF0000"/>
        <bgColor rgb="FFFFA500"/>
      </patternFill>
    </fill>
    <fill>
      <patternFill patternType="solid">
        <fgColor rgb="FFFF0000"/>
        <bgColor indexed="64"/>
      </patternFill>
    </fill>
    <fill>
      <patternFill patternType="solid">
        <fgColor rgb="FF00B050"/>
        <bgColor indexed="64"/>
      </patternFill>
    </fill>
    <fill>
      <patternFill patternType="solid">
        <fgColor rgb="FFFFC000"/>
        <bgColor indexed="64"/>
      </patternFill>
    </fill>
    <fill>
      <patternFill patternType="solid">
        <fgColor rgb="FF0070C0"/>
        <bgColor indexed="64"/>
      </patternFill>
    </fill>
  </fills>
  <borders count="1">
    <border>
      <left/>
      <right/>
      <top/>
      <bottom/>
      <diagonal/>
    </border>
  </borders>
  <cellStyleXfs count="1">
    <xf numFmtId="0" fontId="0" fillId="0" borderId="0"/>
  </cellStyleXfs>
  <cellXfs count="37">
    <xf numFmtId="0" fontId="0" fillId="0" borderId="0" xfId="0"/>
    <xf numFmtId="0" fontId="2" fillId="0" borderId="0" xfId="0" applyFont="1"/>
    <xf numFmtId="0" fontId="3" fillId="0" borderId="0" xfId="0" applyFont="1"/>
    <xf numFmtId="0" fontId="0" fillId="0" borderId="0" xfId="0" applyFill="1"/>
    <xf numFmtId="0" fontId="3" fillId="5" borderId="0" xfId="0" applyFont="1" applyFill="1" applyAlignment="1">
      <alignment horizontal="center" vertical="center" wrapText="1"/>
    </xf>
    <xf numFmtId="0" fontId="0" fillId="0" borderId="0" xfId="0" applyAlignment="1">
      <alignment wrapText="1"/>
    </xf>
    <xf numFmtId="0" fontId="0" fillId="0" borderId="0" xfId="0" applyFont="1"/>
    <xf numFmtId="0" fontId="3" fillId="5" borderId="0" xfId="0" applyFont="1" applyFill="1"/>
    <xf numFmtId="0" fontId="3" fillId="0" borderId="0" xfId="0" applyFont="1" applyFill="1"/>
    <xf numFmtId="0" fontId="3" fillId="14" borderId="0" xfId="0" applyFont="1" applyFill="1"/>
    <xf numFmtId="0" fontId="0" fillId="14" borderId="0" xfId="0" applyFill="1"/>
    <xf numFmtId="0" fontId="0" fillId="0" borderId="0" xfId="0" applyAlignment="1">
      <alignment horizontal="center"/>
    </xf>
    <xf numFmtId="0" fontId="0" fillId="0" borderId="0" xfId="0" applyAlignment="1">
      <alignment horizontal="left"/>
    </xf>
    <xf numFmtId="17" fontId="0" fillId="0" borderId="0" xfId="0" applyNumberFormat="1"/>
    <xf numFmtId="0" fontId="3" fillId="2" borderId="0" xfId="0" applyFont="1" applyFill="1"/>
    <xf numFmtId="0" fontId="3" fillId="0" borderId="0" xfId="0" applyFont="1" applyAlignment="1">
      <alignment vertical="center" wrapText="1"/>
    </xf>
    <xf numFmtId="0" fontId="3" fillId="3" borderId="0" xfId="0" applyFont="1" applyFill="1"/>
    <xf numFmtId="0" fontId="3" fillId="6" borderId="0" xfId="0" applyFont="1" applyFill="1"/>
    <xf numFmtId="0" fontId="3" fillId="8" borderId="0" xfId="0" applyFont="1" applyFill="1"/>
    <xf numFmtId="0" fontId="3" fillId="12" borderId="0" xfId="0" applyFont="1" applyFill="1" applyAlignment="1">
      <alignment vertical="center" wrapText="1"/>
    </xf>
    <xf numFmtId="0" fontId="3" fillId="4" borderId="0" xfId="0" applyFont="1" applyFill="1" applyAlignment="1">
      <alignment vertical="center" wrapText="1"/>
    </xf>
    <xf numFmtId="0" fontId="3" fillId="13" borderId="0" xfId="0" applyFont="1" applyFill="1" applyAlignment="1">
      <alignment vertical="center" wrapText="1"/>
    </xf>
    <xf numFmtId="0" fontId="3" fillId="11" borderId="0" xfId="0" applyFont="1" applyFill="1" applyAlignment="1">
      <alignment vertical="center" wrapText="1"/>
    </xf>
    <xf numFmtId="0" fontId="3" fillId="10" borderId="0" xfId="0" applyFont="1" applyFill="1"/>
    <xf numFmtId="0" fontId="3" fillId="9" borderId="0" xfId="0" applyFont="1" applyFill="1"/>
    <xf numFmtId="0" fontId="3" fillId="7" borderId="0" xfId="0" applyFont="1" applyFill="1"/>
    <xf numFmtId="0" fontId="3" fillId="5" borderId="0" xfId="0" applyFont="1" applyFill="1" applyAlignment="1">
      <alignment horizontal="center"/>
    </xf>
    <xf numFmtId="0" fontId="2" fillId="14" borderId="0" xfId="0" applyFont="1" applyFill="1" applyAlignment="1">
      <alignment horizontal="center"/>
    </xf>
    <xf numFmtId="0" fontId="3" fillId="14" borderId="0" xfId="0" applyFont="1" applyFill="1" applyAlignment="1">
      <alignment horizontal="center"/>
    </xf>
    <xf numFmtId="0" fontId="3" fillId="0" borderId="0" xfId="0" applyFont="1" applyAlignment="1">
      <alignment horizontal="center"/>
    </xf>
    <xf numFmtId="0" fontId="0" fillId="14" borderId="0" xfId="0" applyFill="1" applyAlignment="1">
      <alignment horizontal="center"/>
    </xf>
    <xf numFmtId="0" fontId="3" fillId="11" borderId="0" xfId="0" applyFont="1" applyFill="1" applyAlignment="1">
      <alignment horizontal="center"/>
    </xf>
    <xf numFmtId="0" fontId="3" fillId="13" borderId="0" xfId="0" applyFont="1" applyFill="1" applyAlignment="1">
      <alignment horizontal="center"/>
    </xf>
    <xf numFmtId="0" fontId="3" fillId="4" borderId="0" xfId="0" applyFont="1" applyFill="1" applyAlignment="1">
      <alignment horizontal="center"/>
    </xf>
    <xf numFmtId="0" fontId="1" fillId="5" borderId="0" xfId="0" applyFont="1" applyFill="1" applyAlignment="1">
      <alignment horizontal="center"/>
    </xf>
    <xf numFmtId="0" fontId="0" fillId="5" borderId="0" xfId="0" applyFill="1"/>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8"/>
  <sheetViews>
    <sheetView workbookViewId="0">
      <selection activeCell="C9" sqref="C9"/>
    </sheetView>
  </sheetViews>
  <sheetFormatPr defaultRowHeight="14.5" x14ac:dyDescent="0.35"/>
  <cols>
    <col min="1" max="1" width="20" style="3" customWidth="1"/>
    <col min="2" max="2" width="23.6328125" bestFit="1" customWidth="1"/>
    <col min="3" max="10" width="20" customWidth="1"/>
  </cols>
  <sheetData>
    <row r="1" spans="1:5" ht="18.5" x14ac:dyDescent="0.45">
      <c r="A1" s="34" t="s">
        <v>0</v>
      </c>
      <c r="B1" s="35"/>
      <c r="C1" s="35"/>
      <c r="D1" s="35"/>
      <c r="E1" s="35"/>
    </row>
    <row r="3" spans="1:5" x14ac:dyDescent="0.35">
      <c r="A3" s="8" t="s">
        <v>1</v>
      </c>
      <c r="B3" t="s">
        <v>2</v>
      </c>
    </row>
    <row r="4" spans="1:5" x14ac:dyDescent="0.35">
      <c r="A4" s="8" t="s">
        <v>3</v>
      </c>
      <c r="B4" t="s">
        <v>114</v>
      </c>
    </row>
    <row r="5" spans="1:5" x14ac:dyDescent="0.35">
      <c r="A5" s="8" t="s">
        <v>4</v>
      </c>
      <c r="B5" t="s">
        <v>5</v>
      </c>
    </row>
    <row r="6" spans="1:5" x14ac:dyDescent="0.35">
      <c r="A6" s="8" t="s">
        <v>6</v>
      </c>
      <c r="B6" t="s">
        <v>7</v>
      </c>
    </row>
    <row r="7" spans="1:5" x14ac:dyDescent="0.35">
      <c r="A7" s="8" t="s">
        <v>8</v>
      </c>
      <c r="B7" t="s">
        <v>114</v>
      </c>
    </row>
    <row r="8" spans="1:5" x14ac:dyDescent="0.35">
      <c r="A8" s="8" t="s">
        <v>9</v>
      </c>
      <c r="B8" t="s">
        <v>10</v>
      </c>
    </row>
  </sheetData>
  <mergeCells count="1">
    <mergeCell ref="A1:E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4"/>
  <sheetViews>
    <sheetView workbookViewId="0">
      <selection activeCell="A3" sqref="A3"/>
    </sheetView>
  </sheetViews>
  <sheetFormatPr defaultRowHeight="14.5" x14ac:dyDescent="0.35"/>
  <cols>
    <col min="1" max="1" width="22.54296875" customWidth="1"/>
    <col min="2" max="2" width="20" customWidth="1"/>
    <col min="3" max="3" width="39.90625" bestFit="1" customWidth="1"/>
    <col min="4" max="10" width="20" customWidth="1"/>
  </cols>
  <sheetData>
    <row r="1" spans="1:4" x14ac:dyDescent="0.35">
      <c r="A1" s="1" t="s">
        <v>11</v>
      </c>
    </row>
    <row r="2" spans="1:4" x14ac:dyDescent="0.35">
      <c r="A2" t="s">
        <v>12</v>
      </c>
      <c r="B2" t="s">
        <v>13</v>
      </c>
      <c r="C2" t="s">
        <v>14</v>
      </c>
      <c r="D2" t="s">
        <v>15</v>
      </c>
    </row>
    <row r="3" spans="1:4" x14ac:dyDescent="0.35">
      <c r="A3" t="s">
        <v>173</v>
      </c>
      <c r="B3" t="s">
        <v>158</v>
      </c>
      <c r="D3" s="13" t="s">
        <v>114</v>
      </c>
    </row>
    <row r="5" spans="1:4" x14ac:dyDescent="0.35">
      <c r="A5" s="1" t="s">
        <v>16</v>
      </c>
    </row>
    <row r="6" spans="1:4" x14ac:dyDescent="0.35">
      <c r="A6" t="s">
        <v>17</v>
      </c>
      <c r="B6" t="s">
        <v>15</v>
      </c>
      <c r="C6" t="s">
        <v>18</v>
      </c>
      <c r="D6" t="s">
        <v>19</v>
      </c>
    </row>
    <row r="7" spans="1:4" x14ac:dyDescent="0.35">
      <c r="A7" s="12">
        <v>1.1000000000000001</v>
      </c>
      <c r="B7" t="s">
        <v>159</v>
      </c>
      <c r="C7" t="s">
        <v>160</v>
      </c>
      <c r="D7" t="s">
        <v>5</v>
      </c>
    </row>
    <row r="9" spans="1:4" x14ac:dyDescent="0.35">
      <c r="A9" s="1" t="s">
        <v>20</v>
      </c>
    </row>
    <row r="10" spans="1:4" x14ac:dyDescent="0.35">
      <c r="A10" t="s">
        <v>12</v>
      </c>
      <c r="B10" t="s">
        <v>21</v>
      </c>
    </row>
    <row r="11" spans="1:4" x14ac:dyDescent="0.35">
      <c r="A11" t="s">
        <v>161</v>
      </c>
      <c r="B11" t="s">
        <v>162</v>
      </c>
    </row>
    <row r="13" spans="1:4" x14ac:dyDescent="0.35">
      <c r="A13" s="1" t="s">
        <v>22</v>
      </c>
    </row>
    <row r="14" spans="1:4" x14ac:dyDescent="0.35">
      <c r="A14" t="s">
        <v>163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31"/>
  <sheetViews>
    <sheetView workbookViewId="0">
      <selection activeCell="E1" sqref="E1"/>
    </sheetView>
  </sheetViews>
  <sheetFormatPr defaultRowHeight="14.5" x14ac:dyDescent="0.35"/>
  <cols>
    <col min="1" max="3" width="20" style="11" customWidth="1"/>
    <col min="4" max="4" width="60.08984375" customWidth="1"/>
    <col min="5" max="5" width="20" style="3" customWidth="1"/>
    <col min="6" max="7" width="20" style="11" customWidth="1"/>
    <col min="8" max="8" width="47.26953125" customWidth="1"/>
    <col min="9" max="11" width="20" customWidth="1"/>
    <col min="12" max="18" width="8.7265625" style="3"/>
    <col min="30" max="55" width="8.7265625" style="3"/>
  </cols>
  <sheetData>
    <row r="1" spans="1:8" s="3" customFormat="1" x14ac:dyDescent="0.35">
      <c r="A1" s="27" t="s">
        <v>23</v>
      </c>
      <c r="B1" s="30"/>
      <c r="C1" s="30"/>
      <c r="D1" s="10"/>
      <c r="F1" s="27" t="s">
        <v>24</v>
      </c>
      <c r="G1" s="30"/>
      <c r="H1" s="10"/>
    </row>
    <row r="2" spans="1:8" s="3" customFormat="1" x14ac:dyDescent="0.35">
      <c r="A2" s="28" t="s">
        <v>25</v>
      </c>
      <c r="B2" s="28" t="s">
        <v>18</v>
      </c>
      <c r="C2" s="28" t="s">
        <v>26</v>
      </c>
      <c r="D2" s="10"/>
      <c r="F2" s="28" t="s">
        <v>25</v>
      </c>
      <c r="G2" s="28" t="s">
        <v>18</v>
      </c>
      <c r="H2" s="9" t="s">
        <v>26</v>
      </c>
    </row>
    <row r="3" spans="1:8" x14ac:dyDescent="0.35">
      <c r="A3" s="29">
        <v>1</v>
      </c>
      <c r="B3" s="29" t="s">
        <v>27</v>
      </c>
      <c r="C3" s="29" t="s">
        <v>28</v>
      </c>
      <c r="D3" t="s">
        <v>115</v>
      </c>
      <c r="F3" s="29">
        <v>1</v>
      </c>
      <c r="G3" s="29" t="s">
        <v>29</v>
      </c>
      <c r="H3" s="6" t="s">
        <v>145</v>
      </c>
    </row>
    <row r="4" spans="1:8" x14ac:dyDescent="0.35">
      <c r="D4" t="s">
        <v>116</v>
      </c>
      <c r="H4" t="s">
        <v>137</v>
      </c>
    </row>
    <row r="5" spans="1:8" x14ac:dyDescent="0.35">
      <c r="D5" t="s">
        <v>117</v>
      </c>
      <c r="H5" t="s">
        <v>138</v>
      </c>
    </row>
    <row r="6" spans="1:8" x14ac:dyDescent="0.35">
      <c r="D6" t="s">
        <v>118</v>
      </c>
      <c r="H6" t="s">
        <v>139</v>
      </c>
    </row>
    <row r="9" spans="1:8" x14ac:dyDescent="0.35">
      <c r="A9" s="29">
        <v>2</v>
      </c>
      <c r="B9" s="29" t="s">
        <v>30</v>
      </c>
      <c r="C9" s="29" t="s">
        <v>31</v>
      </c>
      <c r="D9" t="s">
        <v>119</v>
      </c>
      <c r="F9" s="29">
        <v>2</v>
      </c>
      <c r="G9" s="29" t="s">
        <v>32</v>
      </c>
      <c r="H9" s="6" t="s">
        <v>140</v>
      </c>
    </row>
    <row r="10" spans="1:8" x14ac:dyDescent="0.35">
      <c r="D10" t="s">
        <v>120</v>
      </c>
      <c r="H10" s="6" t="s">
        <v>141</v>
      </c>
    </row>
    <row r="11" spans="1:8" x14ac:dyDescent="0.35">
      <c r="D11" t="s">
        <v>121</v>
      </c>
      <c r="H11" s="6" t="s">
        <v>142</v>
      </c>
    </row>
    <row r="12" spans="1:8" ht="29" x14ac:dyDescent="0.35">
      <c r="D12" t="s">
        <v>122</v>
      </c>
      <c r="H12" s="5" t="s">
        <v>143</v>
      </c>
    </row>
    <row r="13" spans="1:8" x14ac:dyDescent="0.35">
      <c r="H13" s="5"/>
    </row>
    <row r="15" spans="1:8" x14ac:dyDescent="0.35">
      <c r="A15" s="29">
        <v>3</v>
      </c>
      <c r="B15" s="29" t="s">
        <v>33</v>
      </c>
      <c r="C15" s="29" t="s">
        <v>131</v>
      </c>
      <c r="D15" t="s">
        <v>123</v>
      </c>
      <c r="F15" s="29">
        <v>3</v>
      </c>
      <c r="G15" s="29" t="s">
        <v>33</v>
      </c>
      <c r="H15" s="5" t="s">
        <v>148</v>
      </c>
    </row>
    <row r="16" spans="1:8" x14ac:dyDescent="0.35">
      <c r="D16" t="s">
        <v>124</v>
      </c>
      <c r="H16" t="s">
        <v>144</v>
      </c>
    </row>
    <row r="17" spans="1:8" x14ac:dyDescent="0.35">
      <c r="D17" t="s">
        <v>125</v>
      </c>
      <c r="H17" s="5" t="s">
        <v>146</v>
      </c>
    </row>
    <row r="18" spans="1:8" x14ac:dyDescent="0.35">
      <c r="D18" t="s">
        <v>126</v>
      </c>
      <c r="H18" t="s">
        <v>147</v>
      </c>
    </row>
    <row r="21" spans="1:8" x14ac:dyDescent="0.35">
      <c r="A21" s="29">
        <v>4</v>
      </c>
      <c r="B21" s="29" t="s">
        <v>34</v>
      </c>
      <c r="C21" s="29" t="s">
        <v>35</v>
      </c>
      <c r="D21" t="s">
        <v>127</v>
      </c>
      <c r="F21" s="29">
        <v>4</v>
      </c>
      <c r="G21" s="29" t="s">
        <v>36</v>
      </c>
      <c r="H21" t="s">
        <v>149</v>
      </c>
    </row>
    <row r="22" spans="1:8" ht="43.5" x14ac:dyDescent="0.35">
      <c r="D22" s="5" t="s">
        <v>128</v>
      </c>
      <c r="H22" s="5" t="s">
        <v>150</v>
      </c>
    </row>
    <row r="23" spans="1:8" x14ac:dyDescent="0.35">
      <c r="D23" t="s">
        <v>129</v>
      </c>
      <c r="H23" t="s">
        <v>151</v>
      </c>
    </row>
    <row r="24" spans="1:8" ht="43.5" x14ac:dyDescent="0.35">
      <c r="D24" s="5" t="s">
        <v>130</v>
      </c>
      <c r="H24" s="5" t="s">
        <v>152</v>
      </c>
    </row>
    <row r="25" spans="1:8" x14ac:dyDescent="0.35">
      <c r="D25" s="5"/>
      <c r="H25" s="5"/>
    </row>
    <row r="26" spans="1:8" x14ac:dyDescent="0.35">
      <c r="D26" s="5"/>
    </row>
    <row r="27" spans="1:8" ht="43.5" x14ac:dyDescent="0.35">
      <c r="A27" s="29">
        <v>5</v>
      </c>
      <c r="B27" s="29" t="s">
        <v>37</v>
      </c>
      <c r="C27" s="29" t="s">
        <v>132</v>
      </c>
      <c r="D27" s="5" t="s">
        <v>133</v>
      </c>
      <c r="F27" s="29">
        <v>5</v>
      </c>
      <c r="G27" s="29" t="s">
        <v>38</v>
      </c>
      <c r="H27" s="5" t="s">
        <v>153</v>
      </c>
    </row>
    <row r="28" spans="1:8" ht="29" x14ac:dyDescent="0.35">
      <c r="D28" s="5" t="s">
        <v>134</v>
      </c>
      <c r="H28" s="5" t="s">
        <v>154</v>
      </c>
    </row>
    <row r="29" spans="1:8" ht="43.5" x14ac:dyDescent="0.35">
      <c r="D29" s="5" t="s">
        <v>135</v>
      </c>
      <c r="H29" s="5" t="s">
        <v>155</v>
      </c>
    </row>
    <row r="30" spans="1:8" ht="29" x14ac:dyDescent="0.35">
      <c r="D30" s="5" t="s">
        <v>136</v>
      </c>
      <c r="H30" s="5" t="s">
        <v>156</v>
      </c>
    </row>
    <row r="31" spans="1:8" x14ac:dyDescent="0.35">
      <c r="H31" s="5" t="s">
        <v>157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
  <sheetViews>
    <sheetView tabSelected="1" topLeftCell="K1" workbookViewId="0">
      <selection activeCell="K2" sqref="K2"/>
    </sheetView>
  </sheetViews>
  <sheetFormatPr defaultRowHeight="14.5" x14ac:dyDescent="0.35"/>
  <cols>
    <col min="1" max="1" width="20" style="11" customWidth="1"/>
    <col min="2" max="2" width="23.7265625" style="11" bestFit="1" customWidth="1"/>
    <col min="3" max="3" width="105.36328125" style="12" customWidth="1"/>
    <col min="4" max="4" width="17.1796875" style="11" customWidth="1"/>
    <col min="5" max="5" width="15.08984375" style="11" customWidth="1"/>
    <col min="6" max="7" width="20" style="11" customWidth="1"/>
    <col min="8" max="8" width="10.7265625" bestFit="1" customWidth="1"/>
    <col min="9" max="9" width="48.1796875" style="11" customWidth="1"/>
    <col min="10" max="10" width="24.08984375" style="11" bestFit="1" customWidth="1"/>
    <col min="11" max="11" width="86.81640625" customWidth="1"/>
    <col min="12" max="12" width="21.1796875" customWidth="1"/>
    <col min="13" max="14" width="20" customWidth="1"/>
  </cols>
  <sheetData>
    <row r="1" spans="1:14" s="3" customFormat="1" x14ac:dyDescent="0.35">
      <c r="A1" s="26" t="s">
        <v>39</v>
      </c>
      <c r="B1" s="26" t="s">
        <v>174</v>
      </c>
      <c r="C1" s="26" t="s">
        <v>175</v>
      </c>
      <c r="D1" s="26" t="s">
        <v>40</v>
      </c>
      <c r="E1" s="26" t="s">
        <v>41</v>
      </c>
      <c r="F1" s="26" t="s">
        <v>42</v>
      </c>
      <c r="G1" s="26" t="s">
        <v>43</v>
      </c>
      <c r="H1" s="7" t="s">
        <v>164</v>
      </c>
      <c r="I1" s="26" t="s">
        <v>79</v>
      </c>
      <c r="J1" s="26" t="s">
        <v>44</v>
      </c>
      <c r="K1" s="7" t="s">
        <v>165</v>
      </c>
      <c r="L1" s="7" t="s">
        <v>95</v>
      </c>
      <c r="M1" s="7" t="s">
        <v>45</v>
      </c>
      <c r="N1" s="7" t="s">
        <v>46</v>
      </c>
    </row>
    <row r="2" spans="1:14" ht="72.5" x14ac:dyDescent="0.35">
      <c r="A2" s="11" t="s">
        <v>47</v>
      </c>
      <c r="B2" s="11" t="s">
        <v>48</v>
      </c>
      <c r="C2" s="12" t="s">
        <v>176</v>
      </c>
      <c r="D2" s="11">
        <v>5</v>
      </c>
      <c r="E2" s="11">
        <v>5</v>
      </c>
      <c r="F2" s="11">
        <f t="shared" ref="F2:F9" si="0">D2*E2</f>
        <v>25</v>
      </c>
      <c r="G2" s="31" t="s">
        <v>49</v>
      </c>
      <c r="H2" s="11">
        <v>10</v>
      </c>
      <c r="I2" s="11" t="s">
        <v>80</v>
      </c>
      <c r="J2" s="11" t="s">
        <v>81</v>
      </c>
      <c r="K2" s="36" t="s">
        <v>166</v>
      </c>
      <c r="L2" t="s">
        <v>96</v>
      </c>
      <c r="M2" t="s">
        <v>50</v>
      </c>
      <c r="N2" t="s">
        <v>51</v>
      </c>
    </row>
    <row r="3" spans="1:14" ht="58" x14ac:dyDescent="0.35">
      <c r="A3" s="11" t="s">
        <v>52</v>
      </c>
      <c r="B3" s="11" t="s">
        <v>53</v>
      </c>
      <c r="C3" s="12" t="s">
        <v>177</v>
      </c>
      <c r="D3" s="11">
        <v>5</v>
      </c>
      <c r="E3" s="11">
        <v>5</v>
      </c>
      <c r="F3" s="11">
        <f t="shared" si="0"/>
        <v>25</v>
      </c>
      <c r="G3" s="31" t="s">
        <v>49</v>
      </c>
      <c r="H3" s="11">
        <v>10</v>
      </c>
      <c r="I3" s="11" t="s">
        <v>82</v>
      </c>
      <c r="J3" s="11" t="s">
        <v>83</v>
      </c>
      <c r="K3" s="5" t="s">
        <v>167</v>
      </c>
      <c r="L3" t="s">
        <v>96</v>
      </c>
      <c r="M3" t="s">
        <v>50</v>
      </c>
      <c r="N3" t="s">
        <v>51</v>
      </c>
    </row>
    <row r="4" spans="1:14" ht="58" x14ac:dyDescent="0.35">
      <c r="A4" s="11" t="s">
        <v>54</v>
      </c>
      <c r="B4" s="11" t="s">
        <v>55</v>
      </c>
      <c r="C4" s="12" t="s">
        <v>178</v>
      </c>
      <c r="D4" s="11">
        <v>4</v>
      </c>
      <c r="E4" s="11">
        <v>5</v>
      </c>
      <c r="F4" s="11">
        <f t="shared" si="0"/>
        <v>20</v>
      </c>
      <c r="G4" s="31" t="s">
        <v>49</v>
      </c>
      <c r="H4" s="11">
        <v>9.8000000000000007</v>
      </c>
      <c r="I4" s="11" t="s">
        <v>84</v>
      </c>
      <c r="J4" s="11" t="s">
        <v>85</v>
      </c>
      <c r="K4" s="5" t="s">
        <v>168</v>
      </c>
      <c r="L4" t="s">
        <v>96</v>
      </c>
      <c r="M4" t="s">
        <v>56</v>
      </c>
      <c r="N4" t="s">
        <v>51</v>
      </c>
    </row>
    <row r="5" spans="1:14" ht="58" x14ac:dyDescent="0.35">
      <c r="A5" s="11" t="s">
        <v>57</v>
      </c>
      <c r="B5" s="11" t="s">
        <v>58</v>
      </c>
      <c r="C5" s="12" t="s">
        <v>180</v>
      </c>
      <c r="D5" s="11">
        <v>3</v>
      </c>
      <c r="E5" s="11">
        <v>4</v>
      </c>
      <c r="F5" s="11">
        <f t="shared" si="0"/>
        <v>12</v>
      </c>
      <c r="G5" s="32" t="s">
        <v>36</v>
      </c>
      <c r="H5" s="11">
        <v>7.8</v>
      </c>
      <c r="I5" s="11" t="s">
        <v>86</v>
      </c>
      <c r="J5" s="11" t="s">
        <v>87</v>
      </c>
      <c r="K5" s="5" t="s">
        <v>169</v>
      </c>
      <c r="L5" t="s">
        <v>36</v>
      </c>
      <c r="M5" t="s">
        <v>59</v>
      </c>
      <c r="N5" t="s">
        <v>51</v>
      </c>
    </row>
    <row r="6" spans="1:14" ht="58" x14ac:dyDescent="0.35">
      <c r="A6" s="11" t="s">
        <v>60</v>
      </c>
      <c r="B6" s="11" t="s">
        <v>61</v>
      </c>
      <c r="C6" s="12" t="s">
        <v>179</v>
      </c>
      <c r="D6" s="11">
        <v>4</v>
      </c>
      <c r="E6" s="11">
        <v>4</v>
      </c>
      <c r="F6" s="11">
        <f t="shared" si="0"/>
        <v>16</v>
      </c>
      <c r="G6" s="31" t="s">
        <v>49</v>
      </c>
      <c r="H6" s="11">
        <v>9.8000000000000007</v>
      </c>
      <c r="I6" s="11" t="s">
        <v>88</v>
      </c>
      <c r="J6" s="11" t="s">
        <v>89</v>
      </c>
      <c r="K6" s="5" t="s">
        <v>170</v>
      </c>
      <c r="L6" t="s">
        <v>96</v>
      </c>
      <c r="M6" t="s">
        <v>62</v>
      </c>
      <c r="N6" t="s">
        <v>51</v>
      </c>
    </row>
    <row r="7" spans="1:14" ht="58" x14ac:dyDescent="0.35">
      <c r="A7" s="11" t="s">
        <v>63</v>
      </c>
      <c r="B7" s="11" t="s">
        <v>64</v>
      </c>
      <c r="C7" s="12" t="s">
        <v>181</v>
      </c>
      <c r="D7" s="11">
        <v>4</v>
      </c>
      <c r="E7" s="11">
        <v>4</v>
      </c>
      <c r="F7" s="11">
        <f t="shared" si="0"/>
        <v>16</v>
      </c>
      <c r="G7" s="31" t="s">
        <v>49</v>
      </c>
      <c r="H7" s="11">
        <v>9.8000000000000007</v>
      </c>
      <c r="I7" s="11" t="s">
        <v>90</v>
      </c>
      <c r="J7" s="11" t="s">
        <v>65</v>
      </c>
      <c r="K7" s="5" t="s">
        <v>171</v>
      </c>
      <c r="L7" t="s">
        <v>36</v>
      </c>
      <c r="M7" t="s">
        <v>59</v>
      </c>
      <c r="N7" t="s">
        <v>51</v>
      </c>
    </row>
    <row r="8" spans="1:14" ht="58" x14ac:dyDescent="0.35">
      <c r="A8" s="11" t="s">
        <v>66</v>
      </c>
      <c r="B8" s="11" t="s">
        <v>67</v>
      </c>
      <c r="C8" s="12" t="s">
        <v>182</v>
      </c>
      <c r="D8" s="11">
        <v>4</v>
      </c>
      <c r="E8" s="11">
        <v>5</v>
      </c>
      <c r="F8" s="11">
        <f t="shared" si="0"/>
        <v>20</v>
      </c>
      <c r="G8" s="31" t="s">
        <v>49</v>
      </c>
      <c r="H8" s="11">
        <v>9</v>
      </c>
      <c r="I8" s="11" t="s">
        <v>91</v>
      </c>
      <c r="J8" s="11" t="s">
        <v>92</v>
      </c>
      <c r="K8" s="5" t="s">
        <v>172</v>
      </c>
      <c r="L8" t="s">
        <v>96</v>
      </c>
      <c r="M8" t="s">
        <v>50</v>
      </c>
      <c r="N8" t="s">
        <v>51</v>
      </c>
    </row>
    <row r="9" spans="1:14" ht="58" x14ac:dyDescent="0.35">
      <c r="A9" s="11" t="s">
        <v>68</v>
      </c>
      <c r="B9" s="11" t="s">
        <v>69</v>
      </c>
      <c r="C9" s="12" t="s">
        <v>184</v>
      </c>
      <c r="D9" s="11">
        <v>3</v>
      </c>
      <c r="E9" s="11">
        <v>3</v>
      </c>
      <c r="F9" s="11">
        <f t="shared" si="0"/>
        <v>9</v>
      </c>
      <c r="G9" s="33" t="s">
        <v>70</v>
      </c>
      <c r="H9" s="11">
        <v>5.3</v>
      </c>
      <c r="I9" s="11" t="s">
        <v>93</v>
      </c>
      <c r="J9" s="11" t="s">
        <v>94</v>
      </c>
      <c r="K9" s="5" t="s">
        <v>183</v>
      </c>
      <c r="L9" t="s">
        <v>70</v>
      </c>
      <c r="M9" t="s">
        <v>59</v>
      </c>
      <c r="N9" t="s">
        <v>51</v>
      </c>
    </row>
  </sheetData>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workbookViewId="0">
      <selection activeCell="I17" sqref="I17"/>
    </sheetView>
  </sheetViews>
  <sheetFormatPr defaultRowHeight="14.5" x14ac:dyDescent="0.35"/>
  <cols>
    <col min="1" max="6" width="8.7265625" style="2"/>
  </cols>
  <sheetData>
    <row r="1" spans="1:6" x14ac:dyDescent="0.35">
      <c r="C1" s="2" t="s">
        <v>78</v>
      </c>
    </row>
    <row r="2" spans="1:6" x14ac:dyDescent="0.35">
      <c r="B2" s="2" t="s">
        <v>71</v>
      </c>
    </row>
    <row r="3" spans="1:6" x14ac:dyDescent="0.35">
      <c r="A3" s="2" t="s">
        <v>72</v>
      </c>
      <c r="B3" s="2" t="s">
        <v>73</v>
      </c>
      <c r="C3" s="2" t="s">
        <v>74</v>
      </c>
      <c r="D3" s="2" t="s">
        <v>75</v>
      </c>
      <c r="E3" s="2" t="s">
        <v>76</v>
      </c>
      <c r="F3" s="2" t="s">
        <v>77</v>
      </c>
    </row>
    <row r="4" spans="1:6" x14ac:dyDescent="0.35">
      <c r="A4" s="2" t="s">
        <v>77</v>
      </c>
      <c r="B4" s="14">
        <v>5</v>
      </c>
      <c r="C4" s="16">
        <v>10</v>
      </c>
      <c r="D4" s="18">
        <v>15</v>
      </c>
      <c r="E4" s="23">
        <v>20</v>
      </c>
      <c r="F4" s="23">
        <v>25</v>
      </c>
    </row>
    <row r="5" spans="1:6" x14ac:dyDescent="0.35">
      <c r="A5" s="2" t="s">
        <v>76</v>
      </c>
      <c r="B5" s="14">
        <v>4</v>
      </c>
      <c r="C5" s="17">
        <v>8</v>
      </c>
      <c r="D5" s="18">
        <v>12</v>
      </c>
      <c r="E5" s="24">
        <v>16</v>
      </c>
      <c r="F5" s="24">
        <v>20</v>
      </c>
    </row>
    <row r="6" spans="1:6" x14ac:dyDescent="0.35">
      <c r="A6" s="2" t="s">
        <v>75</v>
      </c>
      <c r="B6" s="14">
        <v>3</v>
      </c>
      <c r="C6" s="17">
        <v>6</v>
      </c>
      <c r="D6" s="17">
        <v>9</v>
      </c>
      <c r="E6" s="25">
        <v>12</v>
      </c>
      <c r="F6" s="25">
        <v>15</v>
      </c>
    </row>
    <row r="7" spans="1:6" x14ac:dyDescent="0.35">
      <c r="A7" s="2" t="s">
        <v>74</v>
      </c>
      <c r="B7" s="14">
        <v>2</v>
      </c>
      <c r="C7" s="14">
        <v>4</v>
      </c>
      <c r="D7" s="17">
        <v>6</v>
      </c>
      <c r="E7" s="17">
        <v>8</v>
      </c>
      <c r="F7" s="17">
        <v>10</v>
      </c>
    </row>
    <row r="8" spans="1:6" x14ac:dyDescent="0.35">
      <c r="A8" s="2" t="s">
        <v>73</v>
      </c>
      <c r="B8" s="14">
        <v>1</v>
      </c>
      <c r="C8" s="14">
        <v>2</v>
      </c>
      <c r="D8" s="14">
        <v>3</v>
      </c>
      <c r="E8" s="14">
        <v>4</v>
      </c>
      <c r="F8" s="14">
        <v>5</v>
      </c>
    </row>
    <row r="14" spans="1:6" x14ac:dyDescent="0.35">
      <c r="B14" s="2" t="s">
        <v>108</v>
      </c>
    </row>
    <row r="15" spans="1:6" ht="29" x14ac:dyDescent="0.35">
      <c r="B15" s="4" t="s">
        <v>97</v>
      </c>
      <c r="C15" s="4" t="s">
        <v>43</v>
      </c>
      <c r="D15" s="4" t="s">
        <v>98</v>
      </c>
      <c r="E15" s="4" t="s">
        <v>109</v>
      </c>
    </row>
    <row r="16" spans="1:6" x14ac:dyDescent="0.35">
      <c r="B16" s="15" t="s">
        <v>99</v>
      </c>
      <c r="C16" s="15" t="s">
        <v>100</v>
      </c>
      <c r="D16" s="19" t="s">
        <v>104</v>
      </c>
      <c r="E16" s="2" t="s">
        <v>110</v>
      </c>
    </row>
    <row r="17" spans="2:5" x14ac:dyDescent="0.35">
      <c r="B17" s="15" t="s">
        <v>101</v>
      </c>
      <c r="C17" s="15" t="s">
        <v>70</v>
      </c>
      <c r="D17" s="20" t="s">
        <v>105</v>
      </c>
      <c r="E17" s="2" t="s">
        <v>111</v>
      </c>
    </row>
    <row r="18" spans="2:5" x14ac:dyDescent="0.35">
      <c r="B18" s="15" t="s">
        <v>102</v>
      </c>
      <c r="C18" s="15" t="s">
        <v>36</v>
      </c>
      <c r="D18" s="21" t="s">
        <v>106</v>
      </c>
      <c r="E18" s="2" t="s">
        <v>112</v>
      </c>
    </row>
    <row r="19" spans="2:5" x14ac:dyDescent="0.35">
      <c r="B19" s="15" t="s">
        <v>103</v>
      </c>
      <c r="C19" s="15" t="s">
        <v>49</v>
      </c>
      <c r="D19" s="22" t="s">
        <v>107</v>
      </c>
      <c r="E19" s="2" t="s">
        <v>113</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Control Page</vt:lpstr>
      <vt:lpstr>Risk Parameters</vt:lpstr>
      <vt:lpstr>RA &amp; TP 2026</vt:lpstr>
      <vt:lpstr>Risk Matrix</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2026-04-14T17:15:34Z</dcterms:created>
  <dcterms:modified xsi:type="dcterms:W3CDTF">2026-04-20T15:33:40Z</dcterms:modified>
</cp:coreProperties>
</file>